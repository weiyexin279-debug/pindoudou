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设" sheetId="1" state="visible" r:id="rId3"/>
    <sheet name="DCF" sheetId="2" state="visible" r:id="rId4"/>
    <sheet name="敏感性" sheetId="3" state="visible" r:id="rId5"/>
    <sheet name="来源与说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2024 </t>
        </r>
        <r>
          <rPr>
            <sz val="10"/>
            <rFont val="WenQuanYi Zen Hei"/>
            <family val="2"/>
          </rPr>
          <t xml:space="preserve">年报：营收 </t>
        </r>
        <r>
          <rPr>
            <sz val="10"/>
            <rFont val="Arial"/>
            <family val="2"/>
          </rPr>
          <t xml:space="preserve">7,771 </t>
        </r>
        <r>
          <rPr>
            <sz val="10"/>
            <rFont val="WenQuanYi Zen Hei"/>
            <family val="2"/>
          </rPr>
          <t xml:space="preserve">亿</t>
        </r>
      </text>
    </comment>
    <comment ref="B22" authorId="0">
      <text>
        <r>
          <rPr>
            <sz val="10"/>
            <rFont val="Arial"/>
            <family val="2"/>
          </rPr>
          <t xml:space="preserve">2024 </t>
        </r>
        <r>
          <rPr>
            <sz val="10"/>
            <rFont val="WenQuanYi Zen Hei"/>
            <family val="2"/>
          </rPr>
          <t xml:space="preserve">年报 </t>
        </r>
        <r>
          <rPr>
            <sz val="10"/>
            <rFont val="Arial"/>
            <family val="2"/>
          </rPr>
          <t xml:space="preserve">402.54 </t>
        </r>
        <r>
          <rPr>
            <sz val="10"/>
            <rFont val="WenQuanYi Zen Hei"/>
            <family val="2"/>
          </rPr>
          <t xml:space="preserve">亿</t>
        </r>
      </text>
    </comment>
    <comment ref="B23" authorId="0">
      <text>
        <r>
          <rPr>
            <sz val="10"/>
            <rFont val="Arial"/>
            <family val="2"/>
          </rPr>
          <t xml:space="preserve">2024 </t>
        </r>
        <r>
          <rPr>
            <sz val="10"/>
            <rFont val="WenQuanYi Zen Hei"/>
            <family val="2"/>
          </rPr>
          <t xml:space="preserve">年报 </t>
        </r>
        <r>
          <rPr>
            <sz val="10"/>
            <rFont val="Arial"/>
            <family val="2"/>
          </rPr>
          <t xml:space="preserve">1,334.53 </t>
        </r>
        <r>
          <rPr>
            <sz val="10"/>
            <rFont val="WenQuanYi Zen Hei"/>
            <family val="2"/>
          </rPr>
          <t xml:space="preserve">亿</t>
        </r>
      </text>
    </comment>
    <comment ref="C6" authorId="0">
      <text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年报：营收 </t>
        </r>
        <r>
          <rPr>
            <sz val="10"/>
            <rFont val="Arial"/>
            <family val="2"/>
          </rPr>
          <t xml:space="preserve">8,039.6 </t>
        </r>
        <r>
          <rPr>
            <sz val="10"/>
            <rFont val="WenQuanYi Zen Hei"/>
            <family val="2"/>
          </rPr>
          <t xml:space="preserve">亿，同比 </t>
        </r>
        <r>
          <rPr>
            <sz val="10"/>
            <rFont val="Arial"/>
            <family val="2"/>
          </rPr>
          <t xml:space="preserve">+3.5%</t>
        </r>
      </text>
    </comment>
    <comment ref="C7" authorId="0">
      <text>
        <r>
          <rPr>
            <sz val="10"/>
            <rFont val="WenQuanYi Zen Hei"/>
            <family val="2"/>
          </rPr>
          <t xml:space="preserve">估算：</t>
        </r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归母净利 </t>
        </r>
        <r>
          <rPr>
            <sz val="10"/>
            <rFont val="Arial"/>
            <family val="2"/>
          </rPr>
          <t xml:space="preserve">326 </t>
        </r>
        <r>
          <rPr>
            <sz val="10"/>
            <rFont val="WenQuanYi Zen Hei"/>
            <family val="2"/>
          </rPr>
          <t xml:space="preserve">亿 </t>
        </r>
        <r>
          <rPr>
            <sz val="10"/>
            <rFont val="Arial"/>
            <family val="2"/>
          </rPr>
          <t xml:space="preserve">/ (1−18%) ≈ 400 </t>
        </r>
        <r>
          <rPr>
            <sz val="10"/>
            <rFont val="WenQuanYi Zen Hei"/>
            <family val="2"/>
          </rPr>
          <t xml:space="preserve">亿 </t>
        </r>
        <r>
          <rPr>
            <sz val="10"/>
            <rFont val="Arial"/>
            <family val="2"/>
          </rPr>
          <t xml:space="preserve">EBIT</t>
        </r>
        <r>
          <rPr>
            <sz val="10"/>
            <rFont val="WenQuanYi Zen Hei"/>
            <family val="2"/>
          </rPr>
          <t xml:space="preserve">，约占收入 </t>
        </r>
        <r>
          <rPr>
            <sz val="10"/>
            <rFont val="Arial"/>
            <family val="2"/>
          </rPr>
          <t xml:space="preserve">5%</t>
        </r>
      </text>
    </comment>
    <comment ref="C11" authorId="0">
      <text>
        <r>
          <rPr>
            <sz val="10"/>
            <rFont val="WenQuanYi Zen Hei"/>
            <family val="2"/>
          </rPr>
          <t xml:space="preserve">估算：第三方估算 </t>
        </r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折旧 </t>
        </r>
        <r>
          <rPr>
            <sz val="10"/>
            <rFont val="Arial"/>
            <family val="2"/>
          </rPr>
          <t xml:space="preserve">720–800 </t>
        </r>
        <r>
          <rPr>
            <sz val="10"/>
            <rFont val="WenQuanYi Zen Hei"/>
            <family val="2"/>
          </rPr>
          <t xml:space="preserve">亿，取约 </t>
        </r>
        <r>
          <rPr>
            <sz val="10"/>
            <rFont val="Arial"/>
            <family val="2"/>
          </rPr>
          <t xml:space="preserve">750 </t>
        </r>
        <r>
          <rPr>
            <sz val="10"/>
            <rFont val="WenQuanYi Zen Hei"/>
            <family val="2"/>
          </rPr>
          <t xml:space="preserve">亿</t>
        </r>
      </text>
    </comment>
    <comment ref="C13" authorId="0">
      <text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年报现金流量表：购建固定资产、无形资产支付 </t>
        </r>
        <r>
          <rPr>
            <sz val="10"/>
            <rFont val="Arial"/>
            <family val="2"/>
          </rPr>
          <t xml:space="preserve">1,568.08 </t>
        </r>
        <r>
          <rPr>
            <sz val="10"/>
            <rFont val="WenQuanYi Zen Hei"/>
            <family val="2"/>
          </rPr>
          <t xml:space="preserve">亿（第三方整理）</t>
        </r>
      </text>
    </comment>
    <comment ref="C22" authorId="0">
      <text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年报 </t>
        </r>
        <r>
          <rPr>
            <sz val="10"/>
            <rFont val="Arial"/>
            <family val="2"/>
          </rPr>
          <t xml:space="preserve">326.2 </t>
        </r>
        <r>
          <rPr>
            <sz val="10"/>
            <rFont val="WenQuanYi Zen Hei"/>
            <family val="2"/>
          </rPr>
          <t xml:space="preserve">亿，同比 −</t>
        </r>
        <r>
          <rPr>
            <sz val="10"/>
            <rFont val="Arial"/>
            <family val="2"/>
          </rPr>
          <t xml:space="preserve">19%</t>
        </r>
      </text>
    </comment>
    <comment ref="C23" authorId="0">
      <text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年报 </t>
        </r>
        <r>
          <rPr>
            <sz val="10"/>
            <rFont val="Arial"/>
            <family val="2"/>
          </rPr>
          <t xml:space="preserve">591.4 </t>
        </r>
        <r>
          <rPr>
            <sz val="10"/>
            <rFont val="WenQuanYi Zen Hei"/>
            <family val="2"/>
          </rPr>
          <t xml:space="preserve">亿（第三方整理）</t>
        </r>
      </text>
    </comment>
  </commentList>
</comments>
</file>

<file path=xl/sharedStrings.xml><?xml version="1.0" encoding="utf-8"?>
<sst xmlns="http://schemas.openxmlformats.org/spreadsheetml/2006/main" count="112" uniqueCount="111">
  <si>
    <r>
      <rPr>
        <b val="true"/>
        <sz val="14"/>
        <color rgb="FF000000"/>
        <rFont val="WenQuanYi Zen Hei"/>
        <family val="2"/>
      </rPr>
      <t xml:space="preserve">比亚迪股份 </t>
    </r>
    <r>
      <rPr>
        <b val="true"/>
        <sz val="14"/>
        <color rgb="FF000000"/>
        <rFont val="Arial"/>
        <family val="0"/>
        <charset val="1"/>
      </rPr>
      <t xml:space="preserve">(1211.HK) DCF — </t>
    </r>
    <r>
      <rPr>
        <b val="true"/>
        <sz val="14"/>
        <color rgb="FF000000"/>
        <rFont val="WenQuanYi Zen Hei"/>
        <family val="2"/>
      </rPr>
      <t xml:space="preserve">核心假设</t>
    </r>
  </si>
  <si>
    <r>
      <rPr>
        <i val="true"/>
        <sz val="10"/>
        <color rgb="FF666666"/>
        <rFont val="WenQuanYi Zen Hei"/>
        <family val="2"/>
      </rPr>
      <t xml:space="preserve">单位：亿元人民币（另注明除外）。蓝色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手工输入；黄色底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关键假设，可直接修改；黑色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公式。</t>
    </r>
  </si>
  <si>
    <t xml:space="preserve">市场数据</t>
  </si>
  <si>
    <t xml:space="preserve">估值基准日</t>
  </si>
  <si>
    <r>
      <rPr>
        <sz val="9"/>
        <color rgb="FF666666"/>
        <rFont val="WenQuanYi Zen Hei"/>
        <family val="2"/>
      </rPr>
      <t xml:space="preserve">今日；用于计算 </t>
    </r>
    <r>
      <rPr>
        <sz val="9"/>
        <color rgb="FF666666"/>
        <rFont val="Arial"/>
        <family val="0"/>
        <charset val="1"/>
      </rPr>
      <t xml:space="preserve">2026 </t>
    </r>
    <r>
      <rPr>
        <sz val="9"/>
        <color rgb="FF666666"/>
        <rFont val="WenQuanYi Zen Hei"/>
        <family val="2"/>
      </rPr>
      <t xml:space="preserve">年剩余期间</t>
    </r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</si>
  <si>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股股价 </t>
    </r>
    <r>
      <rPr>
        <sz val="10"/>
        <color rgb="FF000000"/>
        <rFont val="Arial"/>
        <family val="0"/>
        <charset val="1"/>
      </rPr>
      <t xml:space="preserve">(HK$)</t>
    </r>
  </si>
  <si>
    <r>
      <rPr>
        <sz val="9"/>
        <color rgb="FF666666"/>
        <rFont val="WenQuanYi Zen Hei"/>
        <family val="2"/>
      </rPr>
      <t xml:space="preserve">腾讯财经 </t>
    </r>
    <r>
      <rPr>
        <sz val="9"/>
        <color rgb="FF666666"/>
        <rFont val="Arial"/>
        <family val="0"/>
        <charset val="1"/>
      </rPr>
      <t xml:space="preserve">01211 </t>
    </r>
    <r>
      <rPr>
        <sz val="9"/>
        <color rgb="FF666666"/>
        <rFont val="WenQuanYi Zen Hei"/>
        <family val="2"/>
      </rPr>
      <t xml:space="preserve">行情页 </t>
    </r>
    <r>
      <rPr>
        <sz val="9"/>
        <color rgb="FF666666"/>
        <rFont val="Arial"/>
        <family val="0"/>
        <charset val="1"/>
      </rPr>
      <t xml:space="preserve">2026-10-08 </t>
    </r>
    <r>
      <rPr>
        <sz val="9"/>
        <color rgb="FF666666"/>
        <rFont val="WenQuanYi Zen Hei"/>
        <family val="2"/>
      </rPr>
      <t xml:space="preserve">盘中价 </t>
    </r>
    <r>
      <rPr>
        <sz val="9"/>
        <color rgb="FF666666"/>
        <rFont val="Arial"/>
        <family val="0"/>
        <charset val="1"/>
      </rPr>
      <t xml:space="preserve">72.95 </t>
    </r>
    <r>
      <rPr>
        <sz val="9"/>
        <color rgb="FF666666"/>
        <rFont val="WenQuanYi Zen Hei"/>
        <family val="2"/>
      </rPr>
      <t xml:space="preserve">港元（昨收 </t>
    </r>
    <r>
      <rPr>
        <sz val="9"/>
        <color rgb="FF666666"/>
        <rFont val="Arial"/>
        <family val="0"/>
        <charset val="1"/>
      </rPr>
      <t xml:space="preserve">74.55</t>
    </r>
    <r>
      <rPr>
        <sz val="9"/>
        <color rgb="FF666666"/>
        <rFont val="WenQuanYi Zen Hei"/>
        <family val="2"/>
      </rPr>
      <t xml:space="preserve">）；请用最新收盘价覆盖</t>
    </r>
  </si>
  <si>
    <r>
      <rPr>
        <sz val="10"/>
        <color rgb="FF000000"/>
        <rFont val="WenQuanYi Zen Hei"/>
        <family val="2"/>
      </rPr>
      <t xml:space="preserve">港元兑人民币 </t>
    </r>
    <r>
      <rPr>
        <sz val="10"/>
        <color rgb="FF000000"/>
        <rFont val="Arial"/>
        <family val="0"/>
        <charset val="1"/>
      </rPr>
      <t xml:space="preserve">(1 HKD = ? CNY)</t>
    </r>
  </si>
  <si>
    <r>
      <rPr>
        <sz val="9"/>
        <color rgb="FF666666"/>
        <rFont val="WenQuanYi Zen Hei"/>
        <family val="2"/>
      </rPr>
      <t xml:space="preserve">假设值；</t>
    </r>
    <r>
      <rPr>
        <sz val="9"/>
        <color rgb="FF666666"/>
        <rFont val="Arial"/>
        <family val="0"/>
        <charset val="1"/>
      </rPr>
      <t xml:space="preserve">81211 </t>
    </r>
    <r>
      <rPr>
        <sz val="9"/>
        <color rgb="FF666666"/>
        <rFont val="WenQuanYi Zen Hei"/>
        <family val="2"/>
      </rPr>
      <t xml:space="preserve">人民币柜台 </t>
    </r>
    <r>
      <rPr>
        <sz val="9"/>
        <color rgb="FF666666"/>
        <rFont val="Arial"/>
        <family val="0"/>
        <charset val="1"/>
      </rPr>
      <t xml:space="preserve">10/7 </t>
    </r>
    <r>
      <rPr>
        <sz val="9"/>
        <color rgb="FF666666"/>
        <rFont val="WenQuanYi Zen Hei"/>
        <family val="2"/>
      </rPr>
      <t xml:space="preserve">收 </t>
    </r>
    <r>
      <rPr>
        <sz val="9"/>
        <color rgb="FF666666"/>
        <rFont val="Arial"/>
        <family val="0"/>
        <charset val="1"/>
      </rPr>
      <t xml:space="preserve">63.7 </t>
    </r>
    <r>
      <rPr>
        <sz val="9"/>
        <color rgb="FF666666"/>
        <rFont val="WenQuanYi Zen Hei"/>
        <family val="2"/>
      </rPr>
      <t xml:space="preserve">元，与 </t>
    </r>
    <r>
      <rPr>
        <sz val="9"/>
        <color rgb="FF666666"/>
        <rFont val="Arial"/>
        <family val="0"/>
        <charset val="1"/>
      </rPr>
      <t xml:space="preserve">HK$~70 </t>
    </r>
    <r>
      <rPr>
        <sz val="9"/>
        <color rgb="FF666666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</si>
  <si>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总股本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亿股，</t>
    </r>
    <r>
      <rPr>
        <sz val="10"/>
        <color rgb="FF000000"/>
        <rFont val="Arial"/>
        <family val="0"/>
        <charset val="1"/>
      </rPr>
      <t xml:space="preserve">A+H)</t>
    </r>
  </si>
  <si>
    <r>
      <rPr>
        <sz val="9"/>
        <color rgb="FF666666"/>
        <rFont val="Arial"/>
        <family val="0"/>
        <charset val="1"/>
      </rPr>
      <t xml:space="preserve">2025 </t>
    </r>
    <r>
      <rPr>
        <sz val="9"/>
        <color rgb="FF666666"/>
        <rFont val="WenQuanYi Zen Hei"/>
        <family val="2"/>
      </rPr>
      <t xml:space="preserve">年 </t>
    </r>
    <r>
      <rPr>
        <sz val="9"/>
        <color rgb="FF666666"/>
        <rFont val="Arial"/>
        <family val="0"/>
        <charset val="1"/>
      </rPr>
      <t xml:space="preserve">7 </t>
    </r>
    <r>
      <rPr>
        <sz val="9"/>
        <color rgb="FF666666"/>
        <rFont val="WenQuanYi Zen Hei"/>
        <family val="2"/>
      </rPr>
      <t xml:space="preserve">月 </t>
    </r>
    <r>
      <rPr>
        <sz val="9"/>
        <color rgb="FF666666"/>
        <rFont val="Arial"/>
        <family val="0"/>
        <charset val="1"/>
      </rPr>
      <t xml:space="preserve">10 </t>
    </r>
    <r>
      <rPr>
        <sz val="9"/>
        <color rgb="FF666666"/>
        <rFont val="WenQuanYi Zen Hei"/>
        <family val="2"/>
      </rPr>
      <t xml:space="preserve">送 </t>
    </r>
    <r>
      <rPr>
        <sz val="9"/>
        <color rgb="FF666666"/>
        <rFont val="Arial"/>
        <family val="0"/>
        <charset val="1"/>
      </rPr>
      <t xml:space="preserve">8 </t>
    </r>
    <r>
      <rPr>
        <sz val="9"/>
        <color rgb="FF666666"/>
        <rFont val="WenQuanYi Zen Hei"/>
        <family val="2"/>
      </rPr>
      <t xml:space="preserve">转 </t>
    </r>
    <r>
      <rPr>
        <sz val="9"/>
        <color rgb="FF666666"/>
        <rFont val="Arial"/>
        <family val="0"/>
        <charset val="1"/>
      </rPr>
      <t xml:space="preserve">12 </t>
    </r>
    <r>
      <rPr>
        <sz val="9"/>
        <color rgb="FF666666"/>
        <rFont val="WenQuanYi Zen Hei"/>
        <family val="2"/>
      </rPr>
      <t xml:space="preserve">后总股本 </t>
    </r>
    <r>
      <rPr>
        <sz val="9"/>
        <color rgb="FF666666"/>
        <rFont val="Arial"/>
        <family val="0"/>
        <charset val="1"/>
      </rPr>
      <t xml:space="preserve">9,117,197,565 </t>
    </r>
    <r>
      <rPr>
        <sz val="9"/>
        <color rgb="FF666666"/>
        <rFont val="WenQuanYi Zen Hei"/>
        <family val="2"/>
      </rPr>
      <t xml:space="preserve">股（</t>
    </r>
    <r>
      <rPr>
        <sz val="9"/>
        <color rgb="FF666666"/>
        <rFont val="Arial"/>
        <family val="0"/>
        <charset val="1"/>
      </rPr>
      <t xml:space="preserve">2025 </t>
    </r>
    <r>
      <rPr>
        <sz val="9"/>
        <color rgb="FF666666"/>
        <rFont val="WenQuanYi Zen Hei"/>
        <family val="2"/>
      </rPr>
      <t xml:space="preserve">年报）</t>
    </r>
  </si>
  <si>
    <t xml:space="preserve">WACC</t>
  </si>
  <si>
    <t xml:space="preserve">无风险利率</t>
  </si>
  <si>
    <r>
      <rPr>
        <sz val="9"/>
        <color rgb="FF666666"/>
        <rFont val="WenQuanYi Zen Hei"/>
        <family val="2"/>
      </rPr>
      <t xml:space="preserve">中国 </t>
    </r>
    <r>
      <rPr>
        <sz val="9"/>
        <color rgb="FF666666"/>
        <rFont val="Arial"/>
        <family val="0"/>
        <charset val="1"/>
      </rPr>
      <t xml:space="preserve">10 </t>
    </r>
    <r>
      <rPr>
        <sz val="9"/>
        <color rgb="FF666666"/>
        <rFont val="WenQuanYi Zen Hei"/>
        <family val="2"/>
      </rPr>
      <t xml:space="preserve">年期国债收益率约 </t>
    </r>
    <r>
      <rPr>
        <sz val="9"/>
        <color rgb="FF666666"/>
        <rFont val="Arial"/>
        <family val="0"/>
        <charset val="1"/>
      </rPr>
      <t xml:space="preserve">1.8–2.0%</t>
    </r>
    <r>
      <rPr>
        <sz val="9"/>
        <color rgb="FF666666"/>
        <rFont val="WenQuanYi Zen Hei"/>
        <family val="2"/>
      </rPr>
      <t xml:space="preserve">（假设）</t>
    </r>
  </si>
  <si>
    <t xml:space="preserve">股权风险溢价</t>
  </si>
  <si>
    <r>
      <rPr>
        <sz val="9"/>
        <color rgb="FF666666"/>
        <rFont val="WenQuanYi Zen Hei"/>
        <family val="2"/>
      </rPr>
      <t xml:space="preserve">假设，含中国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港股市场溢价</t>
    </r>
  </si>
  <si>
    <t xml:space="preserve">Beta</t>
  </si>
  <si>
    <r>
      <rPr>
        <sz val="9"/>
        <color rgb="FF666666"/>
        <rFont val="WenQuanYi Zen Hei"/>
        <family val="2"/>
      </rPr>
      <t xml:space="preserve">假设；港股汽车板块常见 </t>
    </r>
    <r>
      <rPr>
        <sz val="9"/>
        <color rgb="FF666666"/>
        <rFont val="Arial"/>
        <family val="0"/>
        <charset val="1"/>
      </rPr>
      <t xml:space="preserve">1.1–1.3</t>
    </r>
  </si>
  <si>
    <t xml:space="preserve">税前债务成本</t>
  </si>
  <si>
    <t xml:space="preserve">假设，参考人民币贷款利率</t>
  </si>
  <si>
    <r>
      <rPr>
        <sz val="10"/>
        <color rgb="FF000000"/>
        <rFont val="WenQuanYi Zen Hei"/>
        <family val="2"/>
      </rPr>
      <t xml:space="preserve">目标负债率 </t>
    </r>
    <r>
      <rPr>
        <sz val="10"/>
        <color rgb="FF000000"/>
        <rFont val="Arial"/>
        <family val="0"/>
        <charset val="1"/>
      </rPr>
      <t xml:space="preserve">D/(D+E)</t>
    </r>
  </si>
  <si>
    <t xml:space="preserve">假设；公司有息负债低</t>
  </si>
  <si>
    <t xml:space="preserve">预测期</t>
  </si>
  <si>
    <t xml:space="preserve">有效税率</t>
  </si>
  <si>
    <r>
      <rPr>
        <sz val="9"/>
        <color rgb="FF666666"/>
        <rFont val="WenQuanYi Zen Hei"/>
        <family val="2"/>
      </rPr>
      <t xml:space="preserve">假设：高新技术企业 </t>
    </r>
    <r>
      <rPr>
        <sz val="9"/>
        <color rgb="FF666666"/>
        <rFont val="Arial"/>
        <family val="0"/>
        <charset val="1"/>
      </rPr>
      <t xml:space="preserve">15% + </t>
    </r>
    <r>
      <rPr>
        <sz val="9"/>
        <color rgb="FF666666"/>
        <rFont val="WenQuanYi Zen Hei"/>
        <family val="2"/>
      </rPr>
      <t xml:space="preserve">海外较高税率混合</t>
    </r>
  </si>
  <si>
    <r>
      <rPr>
        <sz val="10"/>
        <color rgb="FF000000"/>
        <rFont val="WenQuanYi Zen Hei"/>
        <family val="2"/>
      </rPr>
      <t xml:space="preserve">永续增长率 </t>
    </r>
    <r>
      <rPr>
        <sz val="10"/>
        <color rgb="FF000000"/>
        <rFont val="Arial"/>
        <family val="0"/>
        <charset val="1"/>
      </rPr>
      <t xml:space="preserve">g</t>
    </r>
  </si>
  <si>
    <t xml:space="preserve">假设</t>
  </si>
  <si>
    <r>
      <rPr>
        <sz val="10"/>
        <color rgb="FF000000"/>
        <rFont val="WenQuanYi Zen Hei"/>
        <family val="2"/>
      </rPr>
      <t xml:space="preserve">永续期资本开支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折旧</t>
    </r>
  </si>
  <si>
    <t xml:space="preserve">假设：永续期维持性资本开支略高于折旧</t>
  </si>
  <si>
    <r>
      <rPr>
        <sz val="10"/>
        <color rgb="FF000000"/>
        <rFont val="WenQuanYi Zen Hei"/>
        <family val="2"/>
      </rPr>
      <t xml:space="preserve">增量营运资本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增量收入</t>
    </r>
  </si>
  <si>
    <r>
      <rPr>
        <sz val="9"/>
        <color rgb="FF666666"/>
        <rFont val="WenQuanYi Zen Hei"/>
        <family val="2"/>
      </rPr>
      <t xml:space="preserve">假设：</t>
    </r>
    <r>
      <rPr>
        <sz val="9"/>
        <color rgb="FF666666"/>
        <rFont val="Arial"/>
        <family val="0"/>
        <charset val="1"/>
      </rPr>
      <t xml:space="preserve">BYD </t>
    </r>
    <r>
      <rPr>
        <sz val="9"/>
        <color rgb="FF666666"/>
        <rFont val="WenQuanYi Zen Hei"/>
        <family val="2"/>
      </rPr>
      <t xml:space="preserve">营运资本为负（大额应付款）；监管推动缩短账期构成下行风险，故取 </t>
    </r>
    <r>
      <rPr>
        <sz val="9"/>
        <color rgb="FF666666"/>
        <rFont val="Arial"/>
        <family val="0"/>
        <charset val="1"/>
      </rPr>
      <t xml:space="preserve">0</t>
    </r>
  </si>
  <si>
    <r>
      <rPr>
        <b val="true"/>
        <sz val="10"/>
        <color rgb="FFFFFFFF"/>
        <rFont val="WenQuanYi Zen Hei"/>
        <family val="2"/>
      </rPr>
      <t xml:space="preserve">资产负债表调整 </t>
    </r>
    <r>
      <rPr>
        <b val="true"/>
        <sz val="10"/>
        <color rgb="FFFFFFFF"/>
        <rFont val="Arial"/>
        <family val="0"/>
        <charset val="1"/>
      </rPr>
      <t xml:space="preserve">(2026-06-30)</t>
    </r>
  </si>
  <si>
    <t xml:space="preserve">货币资金</t>
  </si>
  <si>
    <r>
      <rPr>
        <sz val="9"/>
        <color rgb="FF666666"/>
        <rFont val="Arial"/>
        <family val="0"/>
        <charset val="1"/>
      </rPr>
      <t xml:space="preserve">2026 </t>
    </r>
    <r>
      <rPr>
        <sz val="9"/>
        <color rgb="FF666666"/>
        <rFont val="WenQuanYi Zen Hei"/>
        <family val="2"/>
      </rPr>
      <t xml:space="preserve">年半年报：货币资金较期初 </t>
    </r>
    <r>
      <rPr>
        <sz val="9"/>
        <color rgb="FF666666"/>
        <rFont val="Arial"/>
        <family val="0"/>
        <charset val="1"/>
      </rPr>
      <t xml:space="preserve">754.25 </t>
    </r>
    <r>
      <rPr>
        <sz val="9"/>
        <color rgb="FF666666"/>
        <rFont val="WenQuanYi Zen Hei"/>
        <family val="2"/>
      </rPr>
      <t xml:space="preserve">亿下降 </t>
    </r>
    <r>
      <rPr>
        <sz val="9"/>
        <color rgb="FF666666"/>
        <rFont val="Arial"/>
        <family val="0"/>
        <charset val="1"/>
      </rPr>
      <t xml:space="preserve">22.12%</t>
    </r>
  </si>
  <si>
    <t xml:space="preserve">交易性金融资产等可变现投资</t>
  </si>
  <si>
    <r>
      <rPr>
        <sz val="9"/>
        <color rgb="FF666666"/>
        <rFont val="WenQuanYi Zen Hei"/>
        <family val="2"/>
      </rPr>
      <t xml:space="preserve">估算：</t>
    </r>
    <r>
      <rPr>
        <sz val="9"/>
        <color rgb="FF666666"/>
        <rFont val="Arial"/>
        <family val="0"/>
        <charset val="1"/>
      </rPr>
      <t xml:space="preserve">2025 </t>
    </r>
    <r>
      <rPr>
        <sz val="9"/>
        <color rgb="FF666666"/>
        <rFont val="WenQuanYi Zen Hei"/>
        <family val="2"/>
      </rPr>
      <t xml:space="preserve">年末“现金储备”约 </t>
    </r>
    <r>
      <rPr>
        <sz val="9"/>
        <color rgb="FF666666"/>
        <rFont val="Arial"/>
        <family val="0"/>
        <charset val="1"/>
      </rPr>
      <t xml:space="preserve">1,674 </t>
    </r>
    <r>
      <rPr>
        <sz val="9"/>
        <color rgb="FF666666"/>
        <rFont val="WenQuanYi Zen Hei"/>
        <family val="2"/>
      </rPr>
      <t xml:space="preserve">亿（含理财），扣除货币资金后约 </t>
    </r>
    <r>
      <rPr>
        <sz val="9"/>
        <color rgb="FF666666"/>
        <rFont val="Arial"/>
        <family val="0"/>
        <charset val="1"/>
      </rPr>
      <t xml:space="preserve">920 </t>
    </r>
    <r>
      <rPr>
        <sz val="9"/>
        <color rgb="FF666666"/>
        <rFont val="WenQuanYi Zen Hei"/>
        <family val="2"/>
      </rPr>
      <t xml:space="preserve">亿；中报数未取得，按 </t>
    </r>
    <r>
      <rPr>
        <sz val="9"/>
        <color rgb="FF666666"/>
        <rFont val="Arial"/>
        <family val="0"/>
        <charset val="1"/>
      </rPr>
      <t xml:space="preserve">800 </t>
    </r>
    <r>
      <rPr>
        <sz val="9"/>
        <color rgb="FF666666"/>
        <rFont val="WenQuanYi Zen Hei"/>
        <family val="2"/>
      </rPr>
      <t xml:space="preserve">亿估</t>
    </r>
  </si>
  <si>
    <t xml:space="preserve">短期借款</t>
  </si>
  <si>
    <r>
      <rPr>
        <sz val="9"/>
        <color rgb="FF666666"/>
        <rFont val="WenQuanYi Zen Hei"/>
        <family val="2"/>
      </rPr>
      <t xml:space="preserve">估算：</t>
    </r>
    <r>
      <rPr>
        <sz val="9"/>
        <color rgb="FF666666"/>
        <rFont val="Arial"/>
        <family val="0"/>
        <charset val="1"/>
      </rPr>
      <t xml:space="preserve">2026Q1 </t>
    </r>
    <r>
      <rPr>
        <sz val="9"/>
        <color rgb="FF666666"/>
        <rFont val="WenQuanYi Zen Hei"/>
        <family val="2"/>
      </rPr>
      <t xml:space="preserve">末 </t>
    </r>
    <r>
      <rPr>
        <sz val="9"/>
        <color rgb="FF666666"/>
        <rFont val="Arial"/>
        <family val="0"/>
        <charset val="1"/>
      </rPr>
      <t xml:space="preserve">662.96 </t>
    </r>
    <r>
      <rPr>
        <sz val="9"/>
        <color rgb="FF666666"/>
        <rFont val="WenQuanYi Zen Hei"/>
        <family val="2"/>
      </rPr>
      <t xml:space="preserve">亿；中报数未取得</t>
    </r>
  </si>
  <si>
    <t xml:space="preserve">长期借款</t>
  </si>
  <si>
    <r>
      <rPr>
        <sz val="9"/>
        <color rgb="FF666666"/>
        <rFont val="Arial"/>
        <family val="0"/>
        <charset val="1"/>
      </rPr>
      <t xml:space="preserve">2026 </t>
    </r>
    <r>
      <rPr>
        <sz val="9"/>
        <color rgb="FF666666"/>
        <rFont val="WenQuanYi Zen Hei"/>
        <family val="2"/>
      </rPr>
      <t xml:space="preserve">年半年报：长期借款 </t>
    </r>
    <r>
      <rPr>
        <sz val="9"/>
        <color rgb="FF666666"/>
        <rFont val="Arial"/>
        <family val="0"/>
        <charset val="1"/>
      </rPr>
      <t xml:space="preserve">612.01 </t>
    </r>
    <r>
      <rPr>
        <sz val="9"/>
        <color rgb="FF666666"/>
        <rFont val="WenQuanYi Zen Hei"/>
        <family val="2"/>
      </rPr>
      <t xml:space="preserve">亿</t>
    </r>
  </si>
  <si>
    <t xml:space="preserve">少数股东权益（估）</t>
  </si>
  <si>
    <t xml:space="preserve">估算：主要为比亚迪电子少数股东；请以中报为准</t>
  </si>
  <si>
    <t xml:space="preserve">计算得出</t>
  </si>
  <si>
    <r>
      <rPr>
        <sz val="10"/>
        <color rgb="FF000000"/>
        <rFont val="WenQuanYi Zen Hei"/>
        <family val="2"/>
      </rPr>
      <t xml:space="preserve">股权成本 </t>
    </r>
    <r>
      <rPr>
        <sz val="10"/>
        <color rgb="FF000000"/>
        <rFont val="Arial"/>
        <family val="0"/>
        <charset val="1"/>
      </rPr>
      <t xml:space="preserve">Ke</t>
    </r>
  </si>
  <si>
    <r>
      <rPr>
        <sz val="10"/>
        <color rgb="FF000000"/>
        <rFont val="WenQuanYi Zen Hei"/>
        <family val="2"/>
      </rPr>
      <t xml:space="preserve">税后债务成本 </t>
    </r>
    <r>
      <rPr>
        <sz val="10"/>
        <color rgb="FF000000"/>
        <rFont val="Arial"/>
        <family val="0"/>
        <charset val="1"/>
      </rPr>
      <t xml:space="preserve">Kd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</si>
  <si>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年剩余期间（年）</t>
    </r>
  </si>
  <si>
    <r>
      <rPr>
        <sz val="10"/>
        <color rgb="FF000000"/>
        <rFont val="WenQuanYi Zen Hei"/>
        <family val="2"/>
      </rPr>
      <t xml:space="preserve">净现金（现金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投资−借款）</t>
    </r>
  </si>
  <si>
    <r>
      <rPr>
        <b val="true"/>
        <sz val="14"/>
        <color rgb="FF000000"/>
        <rFont val="WenQuanYi Zen Hei"/>
        <family val="2"/>
      </rPr>
      <t xml:space="preserve">比亚迪股份 </t>
    </r>
    <r>
      <rPr>
        <b val="true"/>
        <sz val="14"/>
        <color rgb="FF000000"/>
        <rFont val="Arial"/>
        <family val="0"/>
        <charset val="1"/>
      </rPr>
      <t xml:space="preserve">DCF </t>
    </r>
    <r>
      <rPr>
        <b val="true"/>
        <sz val="14"/>
        <color rgb="FF000000"/>
        <rFont val="WenQuanYi Zen Hei"/>
        <family val="2"/>
      </rPr>
      <t xml:space="preserve">预测（亿元人民币）</t>
    </r>
  </si>
  <si>
    <r>
      <rPr>
        <i val="true"/>
        <sz val="10"/>
        <color rgb="FF666666"/>
        <rFont val="WenQuanYi Zen Hei"/>
        <family val="2"/>
      </rPr>
      <t xml:space="preserve">历史数据蓝色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报告</t>
    </r>
    <r>
      <rPr>
        <i val="true"/>
        <sz val="10"/>
        <color rgb="FF666666"/>
        <rFont val="Arial"/>
        <family val="0"/>
        <charset val="1"/>
      </rPr>
      <t xml:space="preserve">/</t>
    </r>
    <r>
      <rPr>
        <i val="true"/>
        <sz val="10"/>
        <color rgb="FF666666"/>
        <rFont val="WenQuanYi Zen Hei"/>
        <family val="2"/>
      </rPr>
      <t xml:space="preserve">媒体披露值；预测期黄色底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可调假设</t>
    </r>
  </si>
  <si>
    <t xml:space="preserve">年度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</si>
  <si>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</si>
  <si>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</si>
  <si>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</si>
  <si>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</si>
  <si>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</si>
  <si>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</si>
  <si>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</si>
  <si>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</si>
  <si>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</si>
  <si>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</si>
  <si>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</si>
  <si>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</si>
  <si>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收入增长率</t>
  </si>
  <si>
    <t xml:space="preserve">营业收入</t>
  </si>
  <si>
    <r>
      <rPr>
        <sz val="10"/>
        <color rgb="FF000000"/>
        <rFont val="Arial"/>
        <family val="0"/>
        <charset val="1"/>
      </rPr>
      <t xml:space="preserve">EBIT </t>
    </r>
    <r>
      <rPr>
        <sz val="10"/>
        <color rgb="FF000000"/>
        <rFont val="WenQuanYi Zen Hei"/>
        <family val="2"/>
      </rPr>
      <t xml:space="preserve">利润率</t>
    </r>
  </si>
  <si>
    <t xml:space="preserve">EBIT</t>
  </si>
  <si>
    <t xml:space="preserve">所得税</t>
  </si>
  <si>
    <t xml:space="preserve">NOPAT</t>
  </si>
  <si>
    <r>
      <rPr>
        <sz val="10"/>
        <color rgb="FF000000"/>
        <rFont val="WenQuanYi Zen Hei"/>
        <family val="2"/>
      </rPr>
      <t xml:space="preserve">折旧摊销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收入</t>
    </r>
  </si>
  <si>
    <t xml:space="preserve">折旧摊销</t>
  </si>
  <si>
    <r>
      <rPr>
        <sz val="10"/>
        <color rgb="FF000000"/>
        <rFont val="WenQuanYi Zen Hei"/>
        <family val="2"/>
      </rPr>
      <t xml:space="preserve">资本开支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收入</t>
    </r>
  </si>
  <si>
    <t xml:space="preserve">资本开支</t>
  </si>
  <si>
    <t xml:space="preserve">增量营运资本</t>
  </si>
  <si>
    <r>
      <rPr>
        <b val="true"/>
        <sz val="10"/>
        <color rgb="FF000000"/>
        <rFont val="WenQuanYi Zen Hei"/>
        <family val="2"/>
      </rPr>
      <t xml:space="preserve">自由现金流 </t>
    </r>
    <r>
      <rPr>
        <b val="true"/>
        <sz val="10"/>
        <color rgb="FF000000"/>
        <rFont val="Arial"/>
        <family val="0"/>
        <charset val="1"/>
      </rPr>
      <t xml:space="preserve">FCFF</t>
    </r>
  </si>
  <si>
    <t xml:space="preserve">折现期（年）</t>
  </si>
  <si>
    <t xml:space="preserve">折现因子</t>
  </si>
  <si>
    <r>
      <rPr>
        <b val="true"/>
        <sz val="10"/>
        <color rgb="FF000000"/>
        <rFont val="Arial"/>
        <family val="0"/>
        <charset val="1"/>
      </rPr>
      <t xml:space="preserve">FCFF </t>
    </r>
    <r>
      <rPr>
        <b val="true"/>
        <sz val="10"/>
        <color rgb="FF000000"/>
        <rFont val="WenQuanYi Zen Hei"/>
        <family val="2"/>
      </rPr>
      <t xml:space="preserve">现值</t>
    </r>
  </si>
  <si>
    <r>
      <rPr>
        <i val="true"/>
        <sz val="9"/>
        <color rgb="FF666666"/>
        <rFont val="WenQuanYi Zen Hei"/>
        <family val="2"/>
      </rPr>
      <t xml:space="preserve">注：</t>
    </r>
    <r>
      <rPr>
        <i val="true"/>
        <sz val="9"/>
        <color rgb="FF666666"/>
        <rFont val="Arial"/>
        <family val="0"/>
        <charset val="1"/>
      </rPr>
      <t xml:space="preserve">2026E </t>
    </r>
    <r>
      <rPr>
        <i val="true"/>
        <sz val="9"/>
        <color rgb="FF666666"/>
        <rFont val="WenQuanYi Zen Hei"/>
        <family val="2"/>
      </rPr>
      <t xml:space="preserve">现金流仅计入基准日后剩余部分（按剩余期间比例）</t>
    </r>
  </si>
  <si>
    <t xml:space="preserve">参考：归母净利润</t>
  </si>
  <si>
    <t xml:space="preserve">参考：经营现金流</t>
  </si>
  <si>
    <t xml:space="preserve">估值汇总</t>
  </si>
  <si>
    <r>
      <rPr>
        <sz val="10"/>
        <color rgb="FF000000"/>
        <rFont val="WenQuanYi Zen Hei"/>
        <family val="2"/>
      </rPr>
      <t xml:space="preserve">预测期 </t>
    </r>
    <r>
      <rPr>
        <sz val="10"/>
        <color rgb="FF000000"/>
        <rFont val="Arial"/>
        <family val="0"/>
        <charset val="1"/>
      </rPr>
      <t xml:space="preserve">FCFF </t>
    </r>
    <r>
      <rPr>
        <sz val="10"/>
        <color rgb="FF000000"/>
        <rFont val="WenQuanYi Zen Hei"/>
        <family val="2"/>
      </rPr>
      <t xml:space="preserve">现值合计</t>
    </r>
  </si>
  <si>
    <r>
      <rPr>
        <sz val="10"/>
        <color rgb="FF000000"/>
        <rFont val="WenQuanYi Zen Hei"/>
        <family val="2"/>
      </rPr>
      <t xml:space="preserve">终值（</t>
    </r>
    <r>
      <rPr>
        <sz val="10"/>
        <color rgb="FF000000"/>
        <rFont val="Arial"/>
        <family val="0"/>
        <charset val="1"/>
      </rPr>
      <t xml:space="preserve">Gordon </t>
    </r>
    <r>
      <rPr>
        <sz val="10"/>
        <color rgb="FF000000"/>
        <rFont val="WenQuanYi Zen Hei"/>
        <family val="2"/>
      </rPr>
      <t xml:space="preserve">模型，</t>
    </r>
    <r>
      <rPr>
        <sz val="10"/>
        <color rgb="FF000000"/>
        <rFont val="Arial"/>
        <family val="0"/>
        <charset val="1"/>
      </rPr>
      <t xml:space="preserve">2035E </t>
    </r>
    <r>
      <rPr>
        <sz val="10"/>
        <color rgb="FF000000"/>
        <rFont val="WenQuanYi Zen Hei"/>
        <family val="2"/>
      </rPr>
      <t xml:space="preserve">末）</t>
    </r>
  </si>
  <si>
    <t xml:space="preserve">终值现值</t>
  </si>
  <si>
    <r>
      <rPr>
        <b val="true"/>
        <sz val="10"/>
        <color rgb="FF000000"/>
        <rFont val="WenQuanYi Zen Hei"/>
        <family val="2"/>
      </rPr>
      <t xml:space="preserve">企业价值 </t>
    </r>
    <r>
      <rPr>
        <b val="true"/>
        <sz val="10"/>
        <color rgb="FF000000"/>
        <rFont val="Arial"/>
        <family val="0"/>
        <charset val="1"/>
      </rPr>
      <t xml:space="preserve">EV</t>
    </r>
  </si>
  <si>
    <t xml:space="preserve">加：净现金</t>
  </si>
  <si>
    <t xml:space="preserve">减：少数股东权益</t>
  </si>
  <si>
    <t xml:space="preserve">股权价值（亿元）</t>
  </si>
  <si>
    <t xml:space="preserve">每股价值（人民币）</t>
  </si>
  <si>
    <t xml:space="preserve">每股价值（港元）</t>
  </si>
  <si>
    <r>
      <rPr>
        <sz val="10"/>
        <color rgb="FF000000"/>
        <rFont val="WenQuanYi Zen Hei"/>
        <family val="2"/>
      </rPr>
      <t xml:space="preserve">当前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股股价（港元）</t>
    </r>
  </si>
  <si>
    <r>
      <rPr>
        <b val="true"/>
        <sz val="10"/>
        <color rgb="FF000000"/>
        <rFont val="WenQuanYi Zen Hei"/>
        <family val="2"/>
      </rPr>
      <t xml:space="preserve">上行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下行空间</t>
    </r>
  </si>
  <si>
    <r>
      <rPr>
        <sz val="10"/>
        <color rgb="FF000000"/>
        <rFont val="WenQuanYi Zen Hei"/>
        <family val="2"/>
      </rPr>
      <t xml:space="preserve">终值占 </t>
    </r>
    <r>
      <rPr>
        <sz val="10"/>
        <color rgb="FF000000"/>
        <rFont val="Arial"/>
        <family val="0"/>
        <charset val="1"/>
      </rPr>
      <t xml:space="preserve">EV </t>
    </r>
    <r>
      <rPr>
        <sz val="10"/>
        <color rgb="FF000000"/>
        <rFont val="WenQuanYi Zen Hei"/>
        <family val="2"/>
      </rPr>
      <t xml:space="preserve">比重</t>
    </r>
  </si>
  <si>
    <r>
      <rPr>
        <sz val="10"/>
        <color rgb="FF000000"/>
        <rFont val="WenQuanYi Zen Hei"/>
        <family val="2"/>
      </rPr>
      <t xml:space="preserve">隐含 </t>
    </r>
    <r>
      <rPr>
        <sz val="10"/>
        <color rgb="FF000000"/>
        <rFont val="Arial"/>
        <family val="0"/>
        <charset val="1"/>
      </rPr>
      <t xml:space="preserve">EV / 2027E EBIT</t>
    </r>
  </si>
  <si>
    <r>
      <rPr>
        <b val="true"/>
        <sz val="14"/>
        <color rgb="FF000000"/>
        <rFont val="WenQuanYi Zen Hei"/>
        <family val="2"/>
      </rPr>
      <t xml:space="preserve">每股价值（港元）敏感性：</t>
    </r>
    <r>
      <rPr>
        <b val="true"/>
        <sz val="14"/>
        <color rgb="FF000000"/>
        <rFont val="Arial"/>
        <family val="0"/>
        <charset val="1"/>
      </rPr>
      <t xml:space="preserve">WACC × </t>
    </r>
    <r>
      <rPr>
        <b val="true"/>
        <sz val="14"/>
        <color rgb="FF000000"/>
        <rFont val="WenQuanYi Zen Hei"/>
        <family val="2"/>
      </rPr>
      <t xml:space="preserve">永续增长率</t>
    </r>
  </si>
  <si>
    <r>
      <rPr>
        <i val="true"/>
        <sz val="10"/>
        <color rgb="FF666666"/>
        <rFont val="WenQuanYi Zen Hei"/>
        <family val="2"/>
      </rPr>
      <t xml:space="preserve">每格独立重算全部 </t>
    </r>
    <r>
      <rPr>
        <i val="true"/>
        <sz val="10"/>
        <color rgb="FF666666"/>
        <rFont val="Arial"/>
        <family val="0"/>
        <charset val="1"/>
      </rPr>
      <t xml:space="preserve">FCFF </t>
    </r>
    <r>
      <rPr>
        <i val="true"/>
        <sz val="10"/>
        <color rgb="FF666666"/>
        <rFont val="WenQuanYi Zen Hei"/>
        <family val="2"/>
      </rPr>
      <t xml:space="preserve">折现与终值（使用 </t>
    </r>
    <r>
      <rPr>
        <i val="true"/>
        <sz val="10"/>
        <color rgb="FF666666"/>
        <rFont val="Arial"/>
        <family val="0"/>
        <charset val="1"/>
      </rPr>
      <t xml:space="preserve">DCF </t>
    </r>
    <r>
      <rPr>
        <i val="true"/>
        <sz val="10"/>
        <color rgb="FF666666"/>
        <rFont val="WenQuanYi Zen Hei"/>
        <family val="2"/>
      </rPr>
      <t xml:space="preserve">页现金流），非 </t>
    </r>
    <r>
      <rPr>
        <i val="true"/>
        <sz val="10"/>
        <color rgb="FF666666"/>
        <rFont val="Arial"/>
        <family val="0"/>
        <charset val="1"/>
      </rPr>
      <t xml:space="preserve">Excel </t>
    </r>
    <r>
      <rPr>
        <i val="true"/>
        <sz val="10"/>
        <color rgb="FF666666"/>
        <rFont val="WenQuanYi Zen Hei"/>
        <family val="2"/>
      </rPr>
      <t xml:space="preserve">数据表</t>
    </r>
  </si>
  <si>
    <t xml:space="preserve">WACC ↓ / g →</t>
  </si>
  <si>
    <r>
      <rPr>
        <sz val="10"/>
        <color rgb="FF000000"/>
        <rFont val="WenQuanYi Zen Hei"/>
        <family val="2"/>
      </rPr>
      <t xml:space="preserve">当前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股股价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</si>
  <si>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WACC</t>
    </r>
  </si>
  <si>
    <t xml:space="preserve">数据来源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</si>
  <si>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中报：营收 </t>
    </r>
    <r>
      <rPr>
        <sz val="10"/>
        <color rgb="FF000000"/>
        <rFont val="Arial"/>
        <family val="0"/>
        <charset val="1"/>
      </rPr>
      <t xml:space="preserve">3,448.15 </t>
    </r>
    <r>
      <rPr>
        <sz val="10"/>
        <color rgb="FF000000"/>
        <rFont val="WenQuanYi Zen Hei"/>
        <family val="2"/>
      </rPr>
      <t xml:space="preserve">亿（−</t>
    </r>
    <r>
      <rPr>
        <sz val="10"/>
        <color rgb="FF000000"/>
        <rFont val="Arial"/>
        <family val="0"/>
        <charset val="1"/>
      </rPr>
      <t xml:space="preserve">7.13%</t>
    </r>
    <r>
      <rPr>
        <sz val="10"/>
        <color rgb="FF000000"/>
        <rFont val="WenQuanYi Zen Hei"/>
        <family val="2"/>
      </rPr>
      <t xml:space="preserve">），归母净利 </t>
    </r>
    <r>
      <rPr>
        <sz val="10"/>
        <color rgb="FF000000"/>
        <rFont val="Arial"/>
        <family val="0"/>
        <charset val="1"/>
      </rPr>
      <t xml:space="preserve">123.25 </t>
    </r>
    <r>
      <rPr>
        <sz val="10"/>
        <color rgb="FF000000"/>
        <rFont val="WenQuanYi Zen Hei"/>
        <family val="2"/>
      </rPr>
      <t xml:space="preserve">亿（−</t>
    </r>
    <r>
      <rPr>
        <sz val="10"/>
        <color rgb="FF000000"/>
        <rFont val="Arial"/>
        <family val="0"/>
        <charset val="1"/>
      </rPr>
      <t xml:space="preserve">20.54%</t>
    </r>
    <r>
      <rPr>
        <sz val="10"/>
        <color rgb="FF000000"/>
        <rFont val="WenQuanYi Zen Hei"/>
        <family val="2"/>
      </rPr>
      <t xml:space="preserve">），毛利率 </t>
    </r>
    <r>
      <rPr>
        <sz val="10"/>
        <color rgb="FF000000"/>
        <rFont val="Arial"/>
        <family val="0"/>
        <charset val="1"/>
      </rPr>
      <t xml:space="preserve">18.85%</t>
    </r>
    <r>
      <rPr>
        <sz val="10"/>
        <color rgb="FF000000"/>
        <rFont val="WenQuanYi Zen Hei"/>
        <family val="2"/>
      </rPr>
      <t xml:space="preserve">，经营现金流 </t>
    </r>
    <r>
      <rPr>
        <sz val="10"/>
        <color rgb="FF000000"/>
        <rFont val="Arial"/>
        <family val="0"/>
        <charset val="1"/>
      </rPr>
      <t xml:space="preserve">373.35 </t>
    </r>
    <r>
      <rPr>
        <sz val="10"/>
        <color rgb="FF000000"/>
        <rFont val="WenQuanYi Zen Hei"/>
        <family val="2"/>
      </rPr>
      <t xml:space="preserve">亿 — </t>
    </r>
    <r>
      <rPr>
        <sz val="10"/>
        <color rgb="FF000000"/>
        <rFont val="Arial"/>
        <family val="0"/>
        <charset val="1"/>
      </rPr>
      <t xml:space="preserve">https://stock.10jqka.com.cn/20260829/c679413657.shtml 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https://pdf.dfcfw.com/pdf/H2_AN202608280006758523_1.pdf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</si>
  <si>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年报：营收 </t>
    </r>
    <r>
      <rPr>
        <sz val="10"/>
        <color rgb="FF000000"/>
        <rFont val="Arial"/>
        <family val="0"/>
        <charset val="1"/>
      </rPr>
      <t xml:space="preserve">8,039.6 </t>
    </r>
    <r>
      <rPr>
        <sz val="10"/>
        <color rgb="FF000000"/>
        <rFont val="WenQuanYi Zen Hei"/>
        <family val="2"/>
      </rPr>
      <t xml:space="preserve">亿，归母净利 </t>
    </r>
    <r>
      <rPr>
        <sz val="10"/>
        <color rgb="FF000000"/>
        <rFont val="Arial"/>
        <family val="0"/>
        <charset val="1"/>
      </rPr>
      <t xml:space="preserve">326.2 </t>
    </r>
    <r>
      <rPr>
        <sz val="10"/>
        <color rgb="FF000000"/>
        <rFont val="WenQuanYi Zen Hei"/>
        <family val="2"/>
      </rPr>
      <t xml:space="preserve">亿，研发 </t>
    </r>
    <r>
      <rPr>
        <sz val="10"/>
        <color rgb="FF000000"/>
        <rFont val="Arial"/>
        <family val="0"/>
        <charset val="1"/>
      </rPr>
      <t xml:space="preserve">634 </t>
    </r>
    <r>
      <rPr>
        <sz val="10"/>
        <color rgb="FF000000"/>
        <rFont val="WenQuanYi Zen Hei"/>
        <family val="2"/>
      </rPr>
      <t xml:space="preserve">亿 — </t>
    </r>
    <r>
      <rPr>
        <sz val="10"/>
        <color rgb="FF000000"/>
        <rFont val="Arial"/>
        <family val="0"/>
        <charset val="1"/>
      </rPr>
      <t xml:space="preserve">https://www.itiger.com/news/1110052248 </t>
    </r>
    <r>
      <rPr>
        <sz val="10"/>
        <color rgb="FF000000"/>
        <rFont val="WenQuanYi Zen Hei"/>
        <family val="2"/>
      </rPr>
      <t xml:space="preserve">；年报全文 </t>
    </r>
    <r>
      <rPr>
        <sz val="10"/>
        <color rgb="FF000000"/>
        <rFont val="Arial"/>
        <family val="0"/>
        <charset val="1"/>
      </rPr>
      <t xml:space="preserve">http://notice.10jqka.com.cn/api/pdf/2ecc80f55c9c0abe.pdf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</si>
  <si>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经营现金流 </t>
    </r>
    <r>
      <rPr>
        <sz val="10"/>
        <color rgb="FF000000"/>
        <rFont val="Arial"/>
        <family val="0"/>
        <charset val="1"/>
      </rPr>
      <t xml:space="preserve">591.4 </t>
    </r>
    <r>
      <rPr>
        <sz val="10"/>
        <color rgb="FF000000"/>
        <rFont val="WenQuanYi Zen Hei"/>
        <family val="2"/>
      </rPr>
      <t xml:space="preserve">亿、资本开支 </t>
    </r>
    <r>
      <rPr>
        <sz val="10"/>
        <color rgb="FF000000"/>
        <rFont val="Arial"/>
        <family val="0"/>
        <charset val="1"/>
      </rPr>
      <t xml:space="preserve">1,568 </t>
    </r>
    <r>
      <rPr>
        <sz val="10"/>
        <color rgb="FF000000"/>
        <rFont val="WenQuanYi Zen Hei"/>
        <family val="2"/>
      </rPr>
      <t xml:space="preserve">亿、折旧估算 — </t>
    </r>
    <r>
      <rPr>
        <sz val="10"/>
        <color rgb="FF000000"/>
        <rFont val="Arial"/>
        <family val="0"/>
        <charset val="1"/>
      </rPr>
      <t xml:space="preserve">https://caifuhao.eastmoney.com/news/20260414133419735715460 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https://www.zhihu.com/question/2020984478156239784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</si>
  <si>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年报：营收 </t>
    </r>
    <r>
      <rPr>
        <sz val="10"/>
        <color rgb="FF000000"/>
        <rFont val="Arial"/>
        <family val="0"/>
        <charset val="1"/>
      </rPr>
      <t xml:space="preserve">7,771 </t>
    </r>
    <r>
      <rPr>
        <sz val="10"/>
        <color rgb="FF000000"/>
        <rFont val="WenQuanYi Zen Hei"/>
        <family val="2"/>
      </rPr>
      <t xml:space="preserve">亿，归母净利 </t>
    </r>
    <r>
      <rPr>
        <sz val="10"/>
        <color rgb="FF000000"/>
        <rFont val="Arial"/>
        <family val="0"/>
        <charset val="1"/>
      </rPr>
      <t xml:space="preserve">402.54 </t>
    </r>
    <r>
      <rPr>
        <sz val="10"/>
        <color rgb="FF000000"/>
        <rFont val="WenQuanYi Zen Hei"/>
        <family val="2"/>
      </rPr>
      <t xml:space="preserve">亿，经营现金流 </t>
    </r>
    <r>
      <rPr>
        <sz val="10"/>
        <color rgb="FF000000"/>
        <rFont val="Arial"/>
        <family val="0"/>
        <charset val="1"/>
      </rPr>
      <t xml:space="preserve">1,334.53 </t>
    </r>
    <r>
      <rPr>
        <sz val="10"/>
        <color rgb="FF000000"/>
        <rFont val="WenQuanYi Zen Hei"/>
        <family val="2"/>
      </rPr>
      <t xml:space="preserve">亿 — </t>
    </r>
    <r>
      <rPr>
        <sz val="10"/>
        <color rgb="FF000000"/>
        <rFont val="Arial"/>
        <family val="0"/>
        <charset val="1"/>
      </rPr>
      <t xml:space="preserve">https://www.yicai.com/news/102532048.html</t>
    </r>
  </si>
  <si>
    <r>
      <rPr>
        <sz val="10"/>
        <color rgb="FF000000"/>
        <rFont val="WenQuanYi Zen Hei"/>
        <family val="2"/>
      </rPr>
      <t xml:space="preserve">股本 </t>
    </r>
    <r>
      <rPr>
        <sz val="10"/>
        <color rgb="FF000000"/>
        <rFont val="Arial"/>
        <family val="0"/>
        <charset val="1"/>
      </rPr>
      <t xml:space="preserve">9,117,197,565 </t>
    </r>
    <r>
      <rPr>
        <sz val="10"/>
        <color rgb="FF000000"/>
        <rFont val="WenQuanYi Zen Hei"/>
        <family val="2"/>
      </rPr>
      <t xml:space="preserve">股（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月送转后） — </t>
    </r>
    <r>
      <rPr>
        <sz val="10"/>
        <color rgb="FF000000"/>
        <rFont val="Arial"/>
        <family val="0"/>
        <charset val="1"/>
      </rPr>
      <t xml:space="preserve">https://paper.cnstock.com/html/2026-03/28/content_2193381.htm</t>
    </r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</si>
  <si>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股股价 </t>
    </r>
    <r>
      <rPr>
        <sz val="10"/>
        <color rgb="FF000000"/>
        <rFont val="Arial"/>
        <family val="0"/>
        <charset val="1"/>
      </rPr>
      <t xml:space="preserve">72.95 </t>
    </r>
    <r>
      <rPr>
        <sz val="10"/>
        <color rgb="FF000000"/>
        <rFont val="WenQuanYi Zen Hei"/>
        <family val="2"/>
      </rPr>
      <t xml:space="preserve">港元（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WenQuanYi Zen Hei"/>
        <family val="2"/>
      </rPr>
      <t xml:space="preserve">盘中） — </t>
    </r>
    <r>
      <rPr>
        <sz val="10"/>
        <color rgb="FF000000"/>
        <rFont val="Arial"/>
        <family val="0"/>
        <charset val="1"/>
      </rPr>
      <t xml:space="preserve">https://gu.qq.com/hk01211/gp/pingji</t>
    </r>
  </si>
  <si>
    <t xml:space="preserve">主要局限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</si>
  <si>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资产负债表科目（交易性金融资产、短期借款、少数股东权益）为估算值，请用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中报原文替换 假设 页黄色单元格。</t>
    </r>
  </si>
  <si>
    <r>
      <rPr>
        <sz val="10"/>
        <color rgb="FF000000"/>
        <rFont val="Arial"/>
        <family val="0"/>
        <charset val="1"/>
      </rPr>
      <t xml:space="preserve">2. 2025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EBIT</t>
    </r>
    <r>
      <rPr>
        <sz val="10"/>
        <color rgb="FF000000"/>
        <rFont val="WenQuanYi Zen Hei"/>
        <family val="2"/>
      </rPr>
      <t xml:space="preserve">、折旧为基于净利润和第三方估算推算，非年报直接披露。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</si>
  <si>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未将大额应付账款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供应链金融视为类债务；若监管压缩账期，营运资本将流出，估值下行。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</si>
  <si>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A+H </t>
    </r>
    <r>
      <rPr>
        <sz val="10"/>
        <color rgb="FF000000"/>
        <rFont val="WenQuanYi Zen Hei"/>
        <family val="2"/>
      </rPr>
      <t xml:space="preserve">合计股本计算每股价值，隐含假设 </t>
    </r>
    <r>
      <rPr>
        <sz val="10"/>
        <color rgb="FF000000"/>
        <rFont val="Arial"/>
        <family val="0"/>
        <charset val="1"/>
      </rPr>
      <t xml:space="preserve">A/H </t>
    </r>
    <r>
      <rPr>
        <sz val="10"/>
        <color rgb="FF000000"/>
        <rFont val="WenQuanYi Zen Hei"/>
        <family val="2"/>
      </rPr>
      <t xml:space="preserve">同股同权、无折价。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</si>
</sst>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&quot;HK$&quot;#,##0.00"/>
    <numFmt numFmtId="167" formatCode="0.000"/>
    <numFmt numFmtId="168" formatCode="#,##0.0;\(#,##0.0\);\-"/>
    <numFmt numFmtId="169" formatCode="0.0%;\(0.0%\);\-"/>
    <numFmt numFmtId="170" formatCode="0.0%"/>
    <numFmt numFmtId="171" formatCode="0.00"/>
    <numFmt numFmtId="172" formatCode="\¥#,##0.00"/>
    <numFmt numFmtId="173" formatCode="0.0\x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WenQuanYi Zen Hei"/>
      <family val="2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00FF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</row>
    <row r="4" customFormat="false" ht="15" hidden="false" customHeight="false" outlineLevel="0" collapsed="false">
      <c r="A4" s="5" t="s">
        <v>3</v>
      </c>
      <c r="B4" s="6" t="n">
        <f aca="false">DATE(2026,10,10)</f>
        <v>46305</v>
      </c>
      <c r="C4" s="7" t="s">
        <v>4</v>
      </c>
    </row>
    <row r="5" customFormat="false" ht="15" hidden="false" customHeight="false" outlineLevel="0" collapsed="false">
      <c r="A5" s="8" t="s">
        <v>5</v>
      </c>
      <c r="B5" s="9" t="n">
        <v>72.95</v>
      </c>
      <c r="C5" s="7" t="s">
        <v>6</v>
      </c>
    </row>
    <row r="6" customFormat="false" ht="15" hidden="false" customHeight="false" outlineLevel="0" collapsed="false">
      <c r="A6" s="5" t="s">
        <v>7</v>
      </c>
      <c r="B6" s="10" t="n">
        <v>0.91</v>
      </c>
      <c r="C6" s="7" t="s">
        <v>8</v>
      </c>
    </row>
    <row r="7" customFormat="false" ht="15" hidden="false" customHeight="false" outlineLevel="0" collapsed="false">
      <c r="A7" s="5" t="s">
        <v>9</v>
      </c>
      <c r="B7" s="11" t="n">
        <v>91.17</v>
      </c>
      <c r="C7" s="12" t="s">
        <v>10</v>
      </c>
    </row>
    <row r="8" customFormat="false" ht="15" hidden="false" customHeight="false" outlineLevel="0" collapsed="false">
      <c r="A8" s="13" t="s">
        <v>11</v>
      </c>
      <c r="B8" s="4"/>
      <c r="C8" s="4"/>
    </row>
    <row r="9" customFormat="false" ht="15" hidden="false" customHeight="false" outlineLevel="0" collapsed="false">
      <c r="A9" s="5" t="s">
        <v>12</v>
      </c>
      <c r="B9" s="14" t="n">
        <v>0.02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14" t="n">
        <v>0.065</v>
      </c>
      <c r="C10" s="7" t="s">
        <v>15</v>
      </c>
    </row>
    <row r="11" customFormat="false" ht="15" hidden="false" customHeight="false" outlineLevel="0" collapsed="false">
      <c r="A11" s="8" t="s">
        <v>16</v>
      </c>
      <c r="B11" s="11" t="n">
        <v>1.2</v>
      </c>
      <c r="C11" s="7" t="s">
        <v>17</v>
      </c>
    </row>
    <row r="12" customFormat="false" ht="15" hidden="false" customHeight="false" outlineLevel="0" collapsed="false">
      <c r="A12" s="5" t="s">
        <v>18</v>
      </c>
      <c r="B12" s="14" t="n">
        <v>0.03</v>
      </c>
      <c r="C12" s="7" t="s">
        <v>19</v>
      </c>
    </row>
    <row r="13" customFormat="false" ht="15" hidden="false" customHeight="false" outlineLevel="0" collapsed="false">
      <c r="A13" s="5" t="s">
        <v>20</v>
      </c>
      <c r="B13" s="14" t="n">
        <v>0.1</v>
      </c>
      <c r="C13" s="7" t="s">
        <v>21</v>
      </c>
    </row>
    <row r="14" customFormat="false" ht="15" hidden="false" customHeight="false" outlineLevel="0" collapsed="false">
      <c r="A14" s="3" t="s">
        <v>22</v>
      </c>
      <c r="B14" s="4"/>
      <c r="C14" s="4"/>
    </row>
    <row r="15" customFormat="false" ht="15" hidden="false" customHeight="false" outlineLevel="0" collapsed="false">
      <c r="A15" s="5" t="s">
        <v>23</v>
      </c>
      <c r="B15" s="14" t="n">
        <v>0.18</v>
      </c>
      <c r="C15" s="7" t="s">
        <v>24</v>
      </c>
    </row>
    <row r="16" customFormat="false" ht="15" hidden="false" customHeight="false" outlineLevel="0" collapsed="false">
      <c r="A16" s="5" t="s">
        <v>25</v>
      </c>
      <c r="B16" s="14" t="n">
        <v>0.025</v>
      </c>
      <c r="C16" s="7" t="s">
        <v>26</v>
      </c>
    </row>
    <row r="17" customFormat="false" ht="15" hidden="false" customHeight="false" outlineLevel="0" collapsed="false">
      <c r="A17" s="5" t="s">
        <v>27</v>
      </c>
      <c r="B17" s="11" t="n">
        <v>1.1</v>
      </c>
      <c r="C17" s="7" t="s">
        <v>28</v>
      </c>
    </row>
    <row r="18" customFormat="false" ht="15" hidden="false" customHeight="false" outlineLevel="0" collapsed="false">
      <c r="A18" s="5" t="s">
        <v>29</v>
      </c>
      <c r="B18" s="15" t="n">
        <v>0</v>
      </c>
      <c r="C18" s="7" t="s">
        <v>30</v>
      </c>
    </row>
    <row r="19" customFormat="false" ht="15" hidden="false" customHeight="false" outlineLevel="0" collapsed="false">
      <c r="A19" s="3" t="s">
        <v>31</v>
      </c>
      <c r="B19" s="4"/>
      <c r="C19" s="4"/>
    </row>
    <row r="20" customFormat="false" ht="15" hidden="false" customHeight="false" outlineLevel="0" collapsed="false">
      <c r="A20" s="5" t="s">
        <v>32</v>
      </c>
      <c r="B20" s="11" t="n">
        <v>587.4</v>
      </c>
      <c r="C20" s="12" t="s">
        <v>33</v>
      </c>
    </row>
    <row r="21" customFormat="false" ht="15" hidden="false" customHeight="false" outlineLevel="0" collapsed="false">
      <c r="A21" s="5" t="s">
        <v>34</v>
      </c>
      <c r="B21" s="11" t="n">
        <v>800</v>
      </c>
      <c r="C21" s="7" t="s">
        <v>35</v>
      </c>
    </row>
    <row r="22" customFormat="false" ht="15" hidden="false" customHeight="false" outlineLevel="0" collapsed="false">
      <c r="A22" s="5" t="s">
        <v>36</v>
      </c>
      <c r="B22" s="11" t="n">
        <v>600</v>
      </c>
      <c r="C22" s="7" t="s">
        <v>37</v>
      </c>
    </row>
    <row r="23" customFormat="false" ht="15" hidden="false" customHeight="false" outlineLevel="0" collapsed="false">
      <c r="A23" s="5" t="s">
        <v>38</v>
      </c>
      <c r="B23" s="11" t="n">
        <v>612</v>
      </c>
      <c r="C23" s="12" t="s">
        <v>39</v>
      </c>
    </row>
    <row r="24" customFormat="false" ht="15" hidden="false" customHeight="false" outlineLevel="0" collapsed="false">
      <c r="A24" s="5" t="s">
        <v>40</v>
      </c>
      <c r="B24" s="11" t="n">
        <v>200</v>
      </c>
      <c r="C24" s="7" t="s">
        <v>41</v>
      </c>
    </row>
    <row r="26" customFormat="false" ht="15" hidden="false" customHeight="false" outlineLevel="0" collapsed="false">
      <c r="A26" s="3" t="s">
        <v>42</v>
      </c>
      <c r="B26" s="4"/>
      <c r="C26" s="4"/>
    </row>
    <row r="27" customFormat="false" ht="15" hidden="false" customHeight="false" outlineLevel="0" collapsed="false">
      <c r="A27" s="5" t="s">
        <v>43</v>
      </c>
      <c r="B27" s="16" t="n">
        <f aca="false">$B$9+$B$11*$B$10</f>
        <v>0.098</v>
      </c>
    </row>
    <row r="28" customFormat="false" ht="15" hidden="false" customHeight="false" outlineLevel="0" collapsed="false">
      <c r="A28" s="5" t="s">
        <v>44</v>
      </c>
      <c r="B28" s="16" t="n">
        <f aca="false">$B$12*(1-$B$15)</f>
        <v>0.0246</v>
      </c>
    </row>
    <row r="29" customFormat="false" ht="15" hidden="false" customHeight="false" outlineLevel="0" collapsed="false">
      <c r="A29" s="17" t="s">
        <v>11</v>
      </c>
      <c r="B29" s="18" t="n">
        <f aca="false">(1-$B$13)*$B$27+$B$13*$B$28</f>
        <v>0.09066</v>
      </c>
    </row>
    <row r="30" customFormat="false" ht="15" hidden="false" customHeight="false" outlineLevel="0" collapsed="false">
      <c r="A30" s="8" t="s">
        <v>45</v>
      </c>
      <c r="B30" s="19" t="n">
        <f aca="false">(DATE(2026,12,31)-$B$4)/365</f>
        <v>0.224657534246575</v>
      </c>
    </row>
    <row r="31" customFormat="false" ht="15" hidden="false" customHeight="false" outlineLevel="0" collapsed="false">
      <c r="A31" s="5" t="s">
        <v>46</v>
      </c>
      <c r="B31" s="20" t="n">
        <f aca="false">$B$20+$B$21-$B$22-$B$23</f>
        <v>175.4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</cols>
  <sheetData>
    <row r="1" customFormat="false" ht="19.4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55</v>
      </c>
      <c r="H4" s="21" t="s">
        <v>56</v>
      </c>
      <c r="I4" s="21" t="s">
        <v>57</v>
      </c>
      <c r="J4" s="21" t="s">
        <v>58</v>
      </c>
      <c r="K4" s="21" t="s">
        <v>59</v>
      </c>
      <c r="L4" s="21" t="s">
        <v>60</v>
      </c>
      <c r="M4" s="21" t="s">
        <v>61</v>
      </c>
    </row>
    <row r="5" customFormat="false" ht="15" hidden="false" customHeight="false" outlineLevel="0" collapsed="false">
      <c r="A5" s="5" t="s">
        <v>62</v>
      </c>
      <c r="C5" s="22" t="n">
        <f aca="false">C6/B6-1</f>
        <v>0.0346158795521812</v>
      </c>
      <c r="D5" s="14" t="n">
        <v>-0.03</v>
      </c>
      <c r="E5" s="14" t="n">
        <v>0.08</v>
      </c>
      <c r="F5" s="14" t="n">
        <v>0.09</v>
      </c>
      <c r="G5" s="14" t="n">
        <v>0.08</v>
      </c>
      <c r="H5" s="14" t="n">
        <v>0.07</v>
      </c>
      <c r="I5" s="14" t="n">
        <v>0.06</v>
      </c>
      <c r="J5" s="14" t="n">
        <v>0.05</v>
      </c>
      <c r="K5" s="14" t="n">
        <v>0.04</v>
      </c>
      <c r="L5" s="14" t="n">
        <v>0.035</v>
      </c>
      <c r="M5" s="14" t="n">
        <v>0.03</v>
      </c>
    </row>
    <row r="6" customFormat="false" ht="15" hidden="false" customHeight="false" outlineLevel="0" collapsed="false">
      <c r="A6" s="23" t="s">
        <v>63</v>
      </c>
      <c r="B6" s="24" t="n">
        <v>7771</v>
      </c>
      <c r="C6" s="24" t="n">
        <v>8040</v>
      </c>
      <c r="D6" s="25" t="n">
        <f aca="false">C6*(1+D5)</f>
        <v>7798.8</v>
      </c>
      <c r="E6" s="25" t="n">
        <f aca="false">D6*(1+E5)</f>
        <v>8422.704</v>
      </c>
      <c r="F6" s="25" t="n">
        <f aca="false">E6*(1+F5)</f>
        <v>9180.74736</v>
      </c>
      <c r="G6" s="25" t="n">
        <f aca="false">F6*(1+G5)</f>
        <v>9915.2071488</v>
      </c>
      <c r="H6" s="25" t="n">
        <f aca="false">G6*(1+H5)</f>
        <v>10609.271649216</v>
      </c>
      <c r="I6" s="25" t="n">
        <f aca="false">H6*(1+I5)</f>
        <v>11245.827948169</v>
      </c>
      <c r="J6" s="25" t="n">
        <f aca="false">I6*(1+J5)</f>
        <v>11808.1193455774</v>
      </c>
      <c r="K6" s="25" t="n">
        <f aca="false">J6*(1+K5)</f>
        <v>12280.4441194005</v>
      </c>
      <c r="L6" s="25" t="n">
        <f aca="false">K6*(1+L5)</f>
        <v>12710.2596635795</v>
      </c>
      <c r="M6" s="25" t="n">
        <f aca="false">L6*(1+M5)</f>
        <v>13091.5674534869</v>
      </c>
    </row>
    <row r="7" customFormat="false" ht="15" hidden="false" customHeight="false" outlineLevel="0" collapsed="false">
      <c r="A7" s="8" t="s">
        <v>64</v>
      </c>
      <c r="C7" s="26" t="n">
        <v>0.05</v>
      </c>
      <c r="D7" s="14" t="n">
        <v>0.045</v>
      </c>
      <c r="E7" s="14" t="n">
        <v>0.05</v>
      </c>
      <c r="F7" s="14" t="n">
        <v>0.055</v>
      </c>
      <c r="G7" s="14" t="n">
        <v>0.058</v>
      </c>
      <c r="H7" s="14" t="n">
        <v>0.06</v>
      </c>
      <c r="I7" s="14" t="n">
        <v>0.06</v>
      </c>
      <c r="J7" s="14" t="n">
        <v>0.06</v>
      </c>
      <c r="K7" s="14" t="n">
        <v>0.06</v>
      </c>
      <c r="L7" s="14" t="n">
        <v>0.06</v>
      </c>
      <c r="M7" s="14" t="n">
        <v>0.06</v>
      </c>
    </row>
    <row r="8" customFormat="false" ht="15" hidden="false" customHeight="false" outlineLevel="0" collapsed="false">
      <c r="A8" s="8" t="s">
        <v>65</v>
      </c>
      <c r="C8" s="20" t="n">
        <f aca="false">C6*C7</f>
        <v>402</v>
      </c>
      <c r="D8" s="27" t="n">
        <f aca="false">D6*D7</f>
        <v>350.946</v>
      </c>
      <c r="E8" s="27" t="n">
        <f aca="false">E6*E7</f>
        <v>421.1352</v>
      </c>
      <c r="F8" s="27" t="n">
        <f aca="false">F6*F7</f>
        <v>504.9411048</v>
      </c>
      <c r="G8" s="27" t="n">
        <f aca="false">G6*G7</f>
        <v>575.0820146304</v>
      </c>
      <c r="H8" s="27" t="n">
        <f aca="false">H6*H7</f>
        <v>636.55629895296</v>
      </c>
      <c r="I8" s="27" t="n">
        <f aca="false">I6*I7</f>
        <v>674.749676890138</v>
      </c>
      <c r="J8" s="27" t="n">
        <f aca="false">J6*J7</f>
        <v>708.487160734645</v>
      </c>
      <c r="K8" s="27" t="n">
        <f aca="false">K6*K7</f>
        <v>736.826647164031</v>
      </c>
      <c r="L8" s="27" t="n">
        <f aca="false">L6*L7</f>
        <v>762.615579814772</v>
      </c>
      <c r="M8" s="27" t="n">
        <f aca="false">M6*M7</f>
        <v>785.494047209215</v>
      </c>
    </row>
    <row r="9" customFormat="false" ht="15" hidden="false" customHeight="false" outlineLevel="0" collapsed="false">
      <c r="A9" s="5" t="s">
        <v>66</v>
      </c>
      <c r="D9" s="27" t="n">
        <f aca="false">-D8*假设!$B$15</f>
        <v>-63.17028</v>
      </c>
      <c r="E9" s="27" t="n">
        <f aca="false">-E8*假设!$B$15</f>
        <v>-75.804336</v>
      </c>
      <c r="F9" s="27" t="n">
        <f aca="false">-F8*假设!$B$15</f>
        <v>-90.889398864</v>
      </c>
      <c r="G9" s="27" t="n">
        <f aca="false">-G8*假设!$B$15</f>
        <v>-103.514762633472</v>
      </c>
      <c r="H9" s="27" t="n">
        <f aca="false">-H8*假设!$B$15</f>
        <v>-114.580133811533</v>
      </c>
      <c r="I9" s="27" t="n">
        <f aca="false">-I8*假设!$B$15</f>
        <v>-121.454941840225</v>
      </c>
      <c r="J9" s="27" t="n">
        <f aca="false">-J8*假设!$B$15</f>
        <v>-127.527688932236</v>
      </c>
      <c r="K9" s="27" t="n">
        <f aca="false">-K8*假设!$B$15</f>
        <v>-132.628796489526</v>
      </c>
      <c r="L9" s="27" t="n">
        <f aca="false">-L8*假设!$B$15</f>
        <v>-137.270804366659</v>
      </c>
      <c r="M9" s="27" t="n">
        <f aca="false">-M8*假设!$B$15</f>
        <v>-141.388928497659</v>
      </c>
    </row>
    <row r="10" customFormat="false" ht="15" hidden="false" customHeight="false" outlineLevel="0" collapsed="false">
      <c r="A10" s="8" t="s">
        <v>67</v>
      </c>
      <c r="D10" s="27" t="n">
        <f aca="false">D8+D9</f>
        <v>287.77572</v>
      </c>
      <c r="E10" s="27" t="n">
        <f aca="false">E8+E9</f>
        <v>345.330864</v>
      </c>
      <c r="F10" s="27" t="n">
        <f aca="false">F8+F9</f>
        <v>414.051705936</v>
      </c>
      <c r="G10" s="27" t="n">
        <f aca="false">G8+G9</f>
        <v>471.567251996928</v>
      </c>
      <c r="H10" s="27" t="n">
        <f aca="false">H8+H9</f>
        <v>521.976165141428</v>
      </c>
      <c r="I10" s="27" t="n">
        <f aca="false">I8+I9</f>
        <v>553.294735049913</v>
      </c>
      <c r="J10" s="27" t="n">
        <f aca="false">J8+J9</f>
        <v>580.959471802409</v>
      </c>
      <c r="K10" s="27" t="n">
        <f aca="false">K8+K9</f>
        <v>604.197850674505</v>
      </c>
      <c r="L10" s="27" t="n">
        <f aca="false">L8+L9</f>
        <v>625.344775448113</v>
      </c>
      <c r="M10" s="27" t="n">
        <f aca="false">M8+M9</f>
        <v>644.105118711556</v>
      </c>
    </row>
    <row r="11" customFormat="false" ht="15" hidden="false" customHeight="false" outlineLevel="0" collapsed="false">
      <c r="A11" s="5" t="s">
        <v>68</v>
      </c>
      <c r="C11" s="26" t="n">
        <v>0.093</v>
      </c>
      <c r="D11" s="14" t="n">
        <v>0.092</v>
      </c>
      <c r="E11" s="14" t="n">
        <v>0.091</v>
      </c>
      <c r="F11" s="14" t="n">
        <v>0.09</v>
      </c>
      <c r="G11" s="14" t="n">
        <v>0.089</v>
      </c>
      <c r="H11" s="14" t="n">
        <v>0.088</v>
      </c>
      <c r="I11" s="14" t="n">
        <v>0.087</v>
      </c>
      <c r="J11" s="14" t="n">
        <v>0.086</v>
      </c>
      <c r="K11" s="14" t="n">
        <v>0.085</v>
      </c>
      <c r="L11" s="14" t="n">
        <v>0.085</v>
      </c>
      <c r="M11" s="14" t="n">
        <v>0.085</v>
      </c>
    </row>
    <row r="12" customFormat="false" ht="15" hidden="false" customHeight="false" outlineLevel="0" collapsed="false">
      <c r="A12" s="5" t="s">
        <v>69</v>
      </c>
      <c r="C12" s="20" t="n">
        <f aca="false">C6*C11</f>
        <v>747.72</v>
      </c>
      <c r="D12" s="27" t="n">
        <f aca="false">D6*D11</f>
        <v>717.4896</v>
      </c>
      <c r="E12" s="27" t="n">
        <f aca="false">E6*E11</f>
        <v>766.466064</v>
      </c>
      <c r="F12" s="27" t="n">
        <f aca="false">F6*F11</f>
        <v>826.2672624</v>
      </c>
      <c r="G12" s="27" t="n">
        <f aca="false">G6*G11</f>
        <v>882.4534362432</v>
      </c>
      <c r="H12" s="27" t="n">
        <f aca="false">H6*H11</f>
        <v>933.615905131008</v>
      </c>
      <c r="I12" s="27" t="n">
        <f aca="false">I6*I11</f>
        <v>978.3870314907</v>
      </c>
      <c r="J12" s="27" t="n">
        <f aca="false">J6*J11</f>
        <v>1015.49826371966</v>
      </c>
      <c r="K12" s="27" t="n">
        <f aca="false">K6*K11</f>
        <v>1043.83775014904</v>
      </c>
      <c r="L12" s="27" t="n">
        <f aca="false">L6*L11</f>
        <v>1080.37207140426</v>
      </c>
      <c r="M12" s="27" t="n">
        <f aca="false">M6*M11</f>
        <v>1112.78323354639</v>
      </c>
    </row>
    <row r="13" customFormat="false" ht="15" hidden="false" customHeight="false" outlineLevel="0" collapsed="false">
      <c r="A13" s="5" t="s">
        <v>70</v>
      </c>
      <c r="C13" s="26" t="n">
        <v>0.195</v>
      </c>
      <c r="D13" s="14" t="n">
        <v>0.14</v>
      </c>
      <c r="E13" s="14" t="n">
        <v>0.12</v>
      </c>
      <c r="F13" s="14" t="n">
        <v>0.11</v>
      </c>
      <c r="G13" s="14" t="n">
        <v>0.105</v>
      </c>
      <c r="H13" s="14" t="n">
        <v>0.1</v>
      </c>
      <c r="I13" s="14" t="n">
        <v>0.097</v>
      </c>
      <c r="J13" s="14" t="n">
        <v>0.095</v>
      </c>
      <c r="K13" s="14" t="n">
        <v>0.094</v>
      </c>
      <c r="L13" s="14" t="n">
        <v>0.094</v>
      </c>
      <c r="M13" s="16" t="n">
        <f aca="false">M11*假设!$B$17</f>
        <v>0.0935</v>
      </c>
    </row>
    <row r="14" customFormat="false" ht="15" hidden="false" customHeight="false" outlineLevel="0" collapsed="false">
      <c r="A14" s="5" t="s">
        <v>71</v>
      </c>
      <c r="C14" s="20" t="n">
        <f aca="false">-C6*C13</f>
        <v>-1567.8</v>
      </c>
      <c r="D14" s="27" t="n">
        <f aca="false">-D6*D13</f>
        <v>-1091.832</v>
      </c>
      <c r="E14" s="27" t="n">
        <f aca="false">-E6*E13</f>
        <v>-1010.72448</v>
      </c>
      <c r="F14" s="27" t="n">
        <f aca="false">-F6*F13</f>
        <v>-1009.8822096</v>
      </c>
      <c r="G14" s="27" t="n">
        <f aca="false">-G6*G13</f>
        <v>-1041.096750624</v>
      </c>
      <c r="H14" s="27" t="n">
        <f aca="false">-H6*H13</f>
        <v>-1060.9271649216</v>
      </c>
      <c r="I14" s="27" t="n">
        <f aca="false">-I6*I13</f>
        <v>-1090.84531097239</v>
      </c>
      <c r="J14" s="27" t="n">
        <f aca="false">-J6*J13</f>
        <v>-1121.77133782985</v>
      </c>
      <c r="K14" s="27" t="n">
        <f aca="false">-K6*K13</f>
        <v>-1154.36174722365</v>
      </c>
      <c r="L14" s="27" t="n">
        <f aca="false">-L6*L13</f>
        <v>-1194.76440837648</v>
      </c>
      <c r="M14" s="27" t="n">
        <f aca="false">-M6*M13</f>
        <v>-1224.06155690103</v>
      </c>
    </row>
    <row r="15" customFormat="false" ht="15" hidden="false" customHeight="false" outlineLevel="0" collapsed="false">
      <c r="A15" s="5" t="s">
        <v>72</v>
      </c>
      <c r="D15" s="27" t="n">
        <f aca="false">-(D6-C6)*假设!$B$18</f>
        <v>0</v>
      </c>
      <c r="E15" s="27" t="n">
        <f aca="false">-(E6-D6)*假设!$B$18</f>
        <v>-0</v>
      </c>
      <c r="F15" s="27" t="n">
        <f aca="false">-(F6-E6)*假设!$B$18</f>
        <v>-0</v>
      </c>
      <c r="G15" s="27" t="n">
        <f aca="false">-(G6-F6)*假设!$B$18</f>
        <v>-0</v>
      </c>
      <c r="H15" s="27" t="n">
        <f aca="false">-(H6-G6)*假设!$B$18</f>
        <v>-0</v>
      </c>
      <c r="I15" s="27" t="n">
        <f aca="false">-(I6-H6)*假设!$B$18</f>
        <v>-0</v>
      </c>
      <c r="J15" s="27" t="n">
        <f aca="false">-(J6-I6)*假设!$B$18</f>
        <v>-0</v>
      </c>
      <c r="K15" s="27" t="n">
        <f aca="false">-(K6-J6)*假设!$B$18</f>
        <v>-0</v>
      </c>
      <c r="L15" s="27" t="n">
        <f aca="false">-(L6-K6)*假设!$B$18</f>
        <v>-0</v>
      </c>
      <c r="M15" s="27" t="n">
        <f aca="false">-(M6-L6)*假设!$B$18</f>
        <v>-0</v>
      </c>
    </row>
    <row r="16" customFormat="false" ht="15" hidden="false" customHeight="false" outlineLevel="0" collapsed="false">
      <c r="A16" s="23" t="s">
        <v>73</v>
      </c>
      <c r="B16" s="28"/>
      <c r="C16" s="28"/>
      <c r="D16" s="25" t="n">
        <f aca="false">D10+D12+D14+D15</f>
        <v>-86.5666800000001</v>
      </c>
      <c r="E16" s="25" t="n">
        <f aca="false">E10+E12+E14+E15</f>
        <v>101.072448</v>
      </c>
      <c r="F16" s="25" t="n">
        <f aca="false">F10+F12+F14+F15</f>
        <v>230.436758736</v>
      </c>
      <c r="G16" s="25" t="n">
        <f aca="false">G10+G12+G14+G15</f>
        <v>312.923937616128</v>
      </c>
      <c r="H16" s="25" t="n">
        <f aca="false">H10+H12+H14+H15</f>
        <v>394.664905350835</v>
      </c>
      <c r="I16" s="25" t="n">
        <f aca="false">I10+I12+I14+I15</f>
        <v>440.836455568223</v>
      </c>
      <c r="J16" s="25" t="n">
        <f aca="false">J10+J12+J14+J15</f>
        <v>474.686397692212</v>
      </c>
      <c r="K16" s="25" t="n">
        <f aca="false">K10+K12+K14+K15</f>
        <v>493.673853599901</v>
      </c>
      <c r="L16" s="25" t="n">
        <f aca="false">L10+L12+L14+L15</f>
        <v>510.952438475897</v>
      </c>
      <c r="M16" s="25" t="n">
        <f aca="false">M10+M12+M14+M15</f>
        <v>532.826795356918</v>
      </c>
    </row>
    <row r="18" customFormat="false" ht="15" hidden="false" customHeight="false" outlineLevel="0" collapsed="false">
      <c r="A18" s="5" t="s">
        <v>74</v>
      </c>
      <c r="D18" s="29" t="n">
        <f aca="false">假设!$B$30</f>
        <v>0.224657534246575</v>
      </c>
      <c r="E18" s="29" t="n">
        <f aca="false">D18+1</f>
        <v>1.22465753424658</v>
      </c>
      <c r="F18" s="29" t="n">
        <f aca="false">E18+1</f>
        <v>2.22465753424658</v>
      </c>
      <c r="G18" s="29" t="n">
        <f aca="false">F18+1</f>
        <v>3.22465753424658</v>
      </c>
      <c r="H18" s="29" t="n">
        <f aca="false">G18+1</f>
        <v>4.22465753424658</v>
      </c>
      <c r="I18" s="29" t="n">
        <f aca="false">H18+1</f>
        <v>5.22465753424658</v>
      </c>
      <c r="J18" s="29" t="n">
        <f aca="false">I18+1</f>
        <v>6.22465753424658</v>
      </c>
      <c r="K18" s="29" t="n">
        <f aca="false">J18+1</f>
        <v>7.22465753424658</v>
      </c>
      <c r="L18" s="29" t="n">
        <f aca="false">K18+1</f>
        <v>8.22465753424658</v>
      </c>
      <c r="M18" s="29" t="n">
        <f aca="false">L18+1</f>
        <v>9.22465753424658</v>
      </c>
    </row>
    <row r="19" customFormat="false" ht="15" hidden="false" customHeight="false" outlineLevel="0" collapsed="false">
      <c r="A19" s="5" t="s">
        <v>75</v>
      </c>
      <c r="D19" s="30" t="n">
        <f aca="false">1/(1+假设!$B$29)^D18</f>
        <v>0.980692368064309</v>
      </c>
      <c r="E19" s="30" t="n">
        <f aca="false">1/(1+假设!$B$29)^E18</f>
        <v>0.899173315299276</v>
      </c>
      <c r="F19" s="30" t="n">
        <f aca="false">1/(1+假设!$B$29)^F18</f>
        <v>0.8244304506439</v>
      </c>
      <c r="G19" s="30" t="n">
        <f aca="false">1/(1+假设!$B$29)^G18</f>
        <v>0.755900510373444</v>
      </c>
      <c r="H19" s="30" t="n">
        <f aca="false">1/(1+假设!$B$29)^H18</f>
        <v>0.693067051485746</v>
      </c>
      <c r="I19" s="30" t="n">
        <f aca="false">1/(1+假设!$B$29)^I18</f>
        <v>0.635456559776416</v>
      </c>
      <c r="J19" s="30" t="n">
        <f aca="false">1/(1+假设!$B$29)^J18</f>
        <v>0.582634881426307</v>
      </c>
      <c r="K19" s="30" t="n">
        <f aca="false">1/(1+假设!$B$29)^K18</f>
        <v>0.534203951209641</v>
      </c>
      <c r="L19" s="30" t="n">
        <f aca="false">1/(1+假设!$B$29)^L18</f>
        <v>0.489798792666497</v>
      </c>
      <c r="M19" s="30" t="n">
        <f aca="false">1/(1+假设!$B$29)^M18</f>
        <v>0.449084767632898</v>
      </c>
    </row>
    <row r="20" customFormat="false" ht="15" hidden="false" customHeight="false" outlineLevel="0" collapsed="false">
      <c r="A20" s="31" t="s">
        <v>76</v>
      </c>
      <c r="B20" s="28"/>
      <c r="C20" s="28"/>
      <c r="D20" s="25" t="n">
        <f aca="false">D16*D19*假设!$B$30</f>
        <v>-19.0723648141988</v>
      </c>
      <c r="E20" s="25" t="n">
        <f aca="false">E16*E19</f>
        <v>90.8816481535737</v>
      </c>
      <c r="F20" s="25" t="n">
        <f aca="false">F16*F19</f>
        <v>189.97908084964</v>
      </c>
      <c r="G20" s="25" t="n">
        <f aca="false">G16*G19</f>
        <v>236.539364152099</v>
      </c>
      <c r="H20" s="25" t="n">
        <f aca="false">H16*H19</f>
        <v>273.529242276405</v>
      </c>
      <c r="I20" s="25" t="n">
        <f aca="false">I16*I19</f>
        <v>280.132417479412</v>
      </c>
      <c r="J20" s="25" t="n">
        <f aca="false">J16*J19</f>
        <v>276.568853034083</v>
      </c>
      <c r="K20" s="25" t="n">
        <f aca="false">K16*K19</f>
        <v>263.722523201957</v>
      </c>
      <c r="L20" s="25" t="n">
        <f aca="false">L16*L19</f>
        <v>250.263887475497</v>
      </c>
      <c r="M20" s="25" t="n">
        <f aca="false">M16*M19</f>
        <v>239.284397581443</v>
      </c>
    </row>
    <row r="21" customFormat="false" ht="15" hidden="false" customHeight="false" outlineLevel="0" collapsed="false">
      <c r="A21" s="32" t="s">
        <v>77</v>
      </c>
    </row>
    <row r="22" customFormat="false" ht="15" hidden="false" customHeight="false" outlineLevel="0" collapsed="false">
      <c r="A22" s="5" t="s">
        <v>78</v>
      </c>
      <c r="B22" s="33" t="n">
        <v>402.5</v>
      </c>
      <c r="C22" s="33" t="n">
        <v>326.2</v>
      </c>
    </row>
    <row r="23" customFormat="false" ht="15" hidden="false" customHeight="false" outlineLevel="0" collapsed="false">
      <c r="A23" s="5" t="s">
        <v>79</v>
      </c>
      <c r="B23" s="33" t="n">
        <v>1334.5</v>
      </c>
      <c r="C23" s="33" t="n">
        <v>591.4</v>
      </c>
    </row>
    <row r="26" customFormat="false" ht="15" hidden="false" customHeight="false" outlineLevel="0" collapsed="false">
      <c r="A26" s="3" t="s">
        <v>80</v>
      </c>
      <c r="B26" s="4"/>
      <c r="C26" s="4"/>
    </row>
    <row r="27" customFormat="false" ht="15" hidden="false" customHeight="false" outlineLevel="0" collapsed="false">
      <c r="A27" s="5" t="s">
        <v>81</v>
      </c>
      <c r="B27" s="27" t="n">
        <f aca="false">SUM(D20:M20)</f>
        <v>2081.82904938991</v>
      </c>
    </row>
    <row r="28" customFormat="false" ht="15" hidden="false" customHeight="false" outlineLevel="0" collapsed="false">
      <c r="A28" s="5" t="s">
        <v>82</v>
      </c>
      <c r="B28" s="27" t="n">
        <f aca="false">M16*(1+假设!$B$16)/(假设!$B$29-假设!$B$16)</f>
        <v>8317.81092355834</v>
      </c>
    </row>
    <row r="29" customFormat="false" ht="15" hidden="false" customHeight="false" outlineLevel="0" collapsed="false">
      <c r="A29" s="5" t="s">
        <v>83</v>
      </c>
      <c r="B29" s="27" t="n">
        <f aca="false">B28*M19</f>
        <v>3735.40218582058</v>
      </c>
    </row>
    <row r="30" customFormat="false" ht="15" hidden="false" customHeight="false" outlineLevel="0" collapsed="false">
      <c r="A30" s="34" t="s">
        <v>84</v>
      </c>
      <c r="B30" s="35" t="n">
        <f aca="false">B27+B29</f>
        <v>5817.23123521049</v>
      </c>
    </row>
    <row r="31" customFormat="false" ht="15" hidden="false" customHeight="false" outlineLevel="0" collapsed="false">
      <c r="A31" s="5" t="s">
        <v>85</v>
      </c>
      <c r="B31" s="36" t="n">
        <f aca="false">假设!$B$31</f>
        <v>175.4</v>
      </c>
    </row>
    <row r="32" customFormat="false" ht="15" hidden="false" customHeight="false" outlineLevel="0" collapsed="false">
      <c r="A32" s="5" t="s">
        <v>86</v>
      </c>
      <c r="B32" s="36" t="n">
        <f aca="false">-假设!$B$24</f>
        <v>-200</v>
      </c>
    </row>
    <row r="33" customFormat="false" ht="15" hidden="false" customHeight="false" outlineLevel="0" collapsed="false">
      <c r="A33" s="5" t="s">
        <v>87</v>
      </c>
      <c r="B33" s="27" t="n">
        <f aca="false">B30+B31+B32</f>
        <v>5792.63123521049</v>
      </c>
    </row>
    <row r="34" customFormat="false" ht="15" hidden="false" customHeight="false" outlineLevel="0" collapsed="false">
      <c r="A34" s="5" t="s">
        <v>88</v>
      </c>
      <c r="B34" s="37" t="n">
        <f aca="false">B33/假设!$B$7</f>
        <v>63.5365935637873</v>
      </c>
    </row>
    <row r="35" customFormat="false" ht="15" hidden="false" customHeight="false" outlineLevel="0" collapsed="false">
      <c r="A35" s="34" t="s">
        <v>89</v>
      </c>
      <c r="B35" s="38" t="n">
        <f aca="false">B34/假设!$B$6</f>
        <v>69.8204324876783</v>
      </c>
    </row>
    <row r="36" customFormat="false" ht="15" hidden="false" customHeight="false" outlineLevel="0" collapsed="false">
      <c r="A36" s="5" t="s">
        <v>90</v>
      </c>
      <c r="B36" s="39" t="n">
        <f aca="false">假设!$B$5</f>
        <v>72.95</v>
      </c>
    </row>
    <row r="37" customFormat="false" ht="15" hidden="false" customHeight="false" outlineLevel="0" collapsed="false">
      <c r="A37" s="34" t="s">
        <v>91</v>
      </c>
      <c r="B37" s="18" t="n">
        <f aca="false">B35/B36-1</f>
        <v>-0.0429001715191456</v>
      </c>
    </row>
    <row r="38" customFormat="false" ht="15" hidden="false" customHeight="false" outlineLevel="0" collapsed="false">
      <c r="A38" s="5" t="s">
        <v>92</v>
      </c>
      <c r="B38" s="16" t="n">
        <f aca="false">B29/B30</f>
        <v>0.642127162353624</v>
      </c>
    </row>
    <row r="39" customFormat="false" ht="15" hidden="false" customHeight="false" outlineLevel="0" collapsed="false">
      <c r="A39" s="5" t="s">
        <v>93</v>
      </c>
      <c r="B39" s="40" t="n">
        <f aca="false">B30/E8</f>
        <v>13.8132154120826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9.4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17" t="s">
        <v>96</v>
      </c>
      <c r="B4" s="41" t="n">
        <v>0.015</v>
      </c>
      <c r="C4" s="41" t="n">
        <v>0.02</v>
      </c>
      <c r="D4" s="41" t="n">
        <v>0.025</v>
      </c>
      <c r="E4" s="41" t="n">
        <v>0.03</v>
      </c>
      <c r="F4" s="41" t="n">
        <v>0.035</v>
      </c>
    </row>
    <row r="5" customFormat="false" ht="15" hidden="false" customHeight="false" outlineLevel="0" collapsed="false">
      <c r="A5" s="41" t="n">
        <v>0.075</v>
      </c>
      <c r="B5" s="42" t="n">
        <f aca="false">(SUMPRODUCT(DCF!$D$16:$M$16,1/(1+$A5)^DCF!$D$18:$M$18)-DCF!$D$16*(1-假设!$B$30)/(1+$A5)^DCF!$D$18+DCF!$M$16*(1+B$4)/($A5-B$4)/(1+$A5)^DCF!$M$18+(假设!$B$31-假设!$B$24))/假设!$B$7/假设!$B$6</f>
        <v>82.7096474363108</v>
      </c>
      <c r="C5" s="42" t="n">
        <f aca="false">(SUMPRODUCT(DCF!$D$16:$M$16,1/(1+$A5)^DCF!$D$18:$M$18)-DCF!$D$16*(1-假设!$B$30)/(1+$A5)^DCF!$D$18+DCF!$M$16*(1+C$4)/($A5-C$4)/(1+$A5)^DCF!$M$18+(假设!$B$31-假设!$B$24))/假设!$B$7/假设!$B$6</f>
        <v>88.0778007677527</v>
      </c>
      <c r="D5" s="42" t="n">
        <f aca="false">(SUMPRODUCT(DCF!$D$16:$M$16,1/(1+$A5)^DCF!$D$18:$M$18)-DCF!$D$16*(1-假设!$B$30)/(1+$A5)^DCF!$D$18+DCF!$M$16*(1+D$4)/($A5-D$4)/(1+$A5)^DCF!$M$18+(假设!$B$31-假设!$B$24))/假设!$B$7/假设!$B$6</f>
        <v>94.5195847654831</v>
      </c>
      <c r="E5" s="42" t="n">
        <f aca="false">(SUMPRODUCT(DCF!$D$16:$M$16,1/(1+$A5)^DCF!$D$18:$M$18)-DCF!$D$16*(1-假设!$B$30)/(1+$A5)^DCF!$D$18+DCF!$M$16*(1+E$4)/($A5-E$4)/(1+$A5)^DCF!$M$18+(假设!$B$31-假设!$B$24))/假设!$B$7/假设!$B$6</f>
        <v>102.392876318265</v>
      </c>
      <c r="F5" s="42" t="n">
        <f aca="false">(SUMPRODUCT(DCF!$D$16:$M$16,1/(1+$A5)^DCF!$D$18:$M$18)-DCF!$D$16*(1-假设!$B$30)/(1+$A5)^DCF!$D$18+DCF!$M$16*(1+F$4)/($A5-F$4)/(1+$A5)^DCF!$M$18+(假设!$B$31-假设!$B$24))/假设!$B$7/假设!$B$6</f>
        <v>112.234490759241</v>
      </c>
    </row>
    <row r="6" customFormat="false" ht="15" hidden="false" customHeight="false" outlineLevel="0" collapsed="false">
      <c r="A6" s="41" t="n">
        <v>0.08</v>
      </c>
      <c r="B6" s="42" t="n">
        <f aca="false">(SUMPRODUCT(DCF!$D$16:$M$16,1/(1+$A6)^DCF!$D$18:$M$18)-DCF!$D$16*(1-假设!$B$30)/(1+$A6)^DCF!$D$18+DCF!$M$16*(1+B$4)/($A6-B$4)/(1+$A6)^DCF!$M$18+(假设!$B$31-假设!$B$24))/假设!$B$7/假设!$B$6</f>
        <v>75.5488430800068</v>
      </c>
      <c r="C6" s="42" t="n">
        <f aca="false">(SUMPRODUCT(DCF!$D$16:$M$16,1/(1+$A6)^DCF!$D$18:$M$18)-DCF!$D$16*(1-假设!$B$30)/(1+$A6)^DCF!$D$18+DCF!$M$16*(1+C$4)/($A6-C$4)/(1+$A6)^DCF!$M$18+(假设!$B$31-假设!$B$24))/假设!$B$7/假设!$B$6</f>
        <v>79.9210344710418</v>
      </c>
      <c r="D6" s="42" t="n">
        <f aca="false">(SUMPRODUCT(DCF!$D$16:$M$16,1/(1+$A6)^DCF!$D$18:$M$18)-DCF!$D$16*(1-假设!$B$30)/(1+$A6)^DCF!$D$18+DCF!$M$16*(1+D$4)/($A6-D$4)/(1+$A6)^DCF!$M$18+(假设!$B$31-假设!$B$24))/假设!$B$7/假设!$B$6</f>
        <v>85.0881697513559</v>
      </c>
      <c r="E6" s="42" t="n">
        <f aca="false">(SUMPRODUCT(DCF!$D$16:$M$16,1/(1+$A6)^DCF!$D$18:$M$18)-DCF!$D$16*(1-假设!$B$30)/(1+$A6)^DCF!$D$18+DCF!$M$16*(1+E$4)/($A6-E$4)/(1+$A6)^DCF!$M$18+(假设!$B$31-假设!$B$24))/假设!$B$7/假设!$B$6</f>
        <v>91.2887320877328</v>
      </c>
      <c r="F6" s="42" t="n">
        <f aca="false">(SUMPRODUCT(DCF!$D$16:$M$16,1/(1+$A6)^DCF!$D$18:$M$18)-DCF!$D$16*(1-假设!$B$30)/(1+$A6)^DCF!$D$18+DCF!$M$16*(1+F$4)/($A6-F$4)/(1+$A6)^DCF!$M$18+(假设!$B$31-假设!$B$24))/假设!$B$7/假设!$B$6</f>
        <v>98.8671971655268</v>
      </c>
    </row>
    <row r="7" customFormat="false" ht="15" hidden="false" customHeight="false" outlineLevel="0" collapsed="false">
      <c r="A7" s="41" t="n">
        <v>0.085</v>
      </c>
      <c r="B7" s="42" t="n">
        <f aca="false">(SUMPRODUCT(DCF!$D$16:$M$16,1/(1+$A7)^DCF!$D$18:$M$18)-DCF!$D$16*(1-假设!$B$30)/(1+$A7)^DCF!$D$18+DCF!$M$16*(1+B$4)/($A7-B$4)/(1+$A7)^DCF!$M$18+(假设!$B$31-假设!$B$24))/假设!$B$7/假设!$B$6</f>
        <v>69.4262316596461</v>
      </c>
      <c r="C7" s="42" t="n">
        <f aca="false">(SUMPRODUCT(DCF!$D$16:$M$16,1/(1+$A7)^DCF!$D$18:$M$18)-DCF!$D$16*(1-假设!$B$30)/(1+$A7)^DCF!$D$18+DCF!$M$16*(1+C$4)/($A7-C$4)/(1+$A7)^DCF!$M$18+(假设!$B$31-假设!$B$24))/假设!$B$7/假设!$B$6</f>
        <v>73.034126365425</v>
      </c>
      <c r="D7" s="42" t="n">
        <f aca="false">(SUMPRODUCT(DCF!$D$16:$M$16,1/(1+$A7)^DCF!$D$18:$M$18)-DCF!$D$16*(1-假设!$B$30)/(1+$A7)^DCF!$D$18+DCF!$M$16*(1+D$4)/($A7-D$4)/(1+$A7)^DCF!$M$18+(假设!$B$31-假设!$B$24))/假设!$B$7/假设!$B$6</f>
        <v>77.2433368555005</v>
      </c>
      <c r="E7" s="42" t="n">
        <f aca="false">(SUMPRODUCT(DCF!$D$16:$M$16,1/(1+$A7)^DCF!$D$18:$M$18)-DCF!$D$16*(1-假设!$B$30)/(1+$A7)^DCF!$D$18+DCF!$M$16*(1+E$4)/($A7-E$4)/(1+$A7)^DCF!$M$18+(假设!$B$31-假设!$B$24))/假设!$B$7/假设!$B$6</f>
        <v>82.2178583437714</v>
      </c>
      <c r="F7" s="42" t="n">
        <f aca="false">(SUMPRODUCT(DCF!$D$16:$M$16,1/(1+$A7)^DCF!$D$18:$M$18)-DCF!$D$16*(1-假设!$B$30)/(1+$A7)^DCF!$D$18+DCF!$M$16*(1+F$4)/($A7-F$4)/(1+$A7)^DCF!$M$18+(假设!$B$31-假设!$B$24))/假设!$B$7/假设!$B$6</f>
        <v>88.1872841296966</v>
      </c>
    </row>
    <row r="8" customFormat="false" ht="15" hidden="false" customHeight="false" outlineLevel="0" collapsed="false">
      <c r="A8" s="41" t="n">
        <v>0.09</v>
      </c>
      <c r="B8" s="42" t="n">
        <f aca="false">(SUMPRODUCT(DCF!$D$16:$M$16,1/(1+$A8)^DCF!$D$18:$M$18)-DCF!$D$16*(1-假设!$B$30)/(1+$A8)^DCF!$D$18+DCF!$M$16*(1+B$4)/($A8-B$4)/(1+$A8)^DCF!$M$18+(假设!$B$31-假设!$B$24))/假设!$B$7/假设!$B$6</f>
        <v>64.1337467023601</v>
      </c>
      <c r="C8" s="42" t="n">
        <f aca="false">(SUMPRODUCT(DCF!$D$16:$M$16,1/(1+$A8)^DCF!$D$18:$M$18)-DCF!$D$16*(1-假设!$B$30)/(1+$A8)^DCF!$D$18+DCF!$M$16*(1+C$4)/($A8-C$4)/(1+$A8)^DCF!$M$18+(假设!$B$31-假设!$B$24))/假设!$B$7/假设!$B$6</f>
        <v>67.1445562357759</v>
      </c>
      <c r="D8" s="42" t="n">
        <f aca="false">(SUMPRODUCT(DCF!$D$16:$M$16,1/(1+$A8)^DCF!$D$18:$M$18)-DCF!$D$16*(1-假设!$B$30)/(1+$A8)^DCF!$D$18+DCF!$M$16*(1+D$4)/($A8-D$4)/(1+$A8)^DCF!$M$18+(假设!$B$31-假设!$B$24))/假设!$B$7/假设!$B$6</f>
        <v>70.618567235871</v>
      </c>
      <c r="E8" s="42" t="n">
        <f aca="false">(SUMPRODUCT(DCF!$D$16:$M$16,1/(1+$A8)^DCF!$D$18:$M$18)-DCF!$D$16*(1-假设!$B$30)/(1+$A8)^DCF!$D$18+DCF!$M$16*(1+E$4)/($A8-E$4)/(1+$A8)^DCF!$M$18+(假设!$B$31-假设!$B$24))/假设!$B$7/假设!$B$6</f>
        <v>74.6715800693153</v>
      </c>
      <c r="F8" s="42" t="n">
        <f aca="false">(SUMPRODUCT(DCF!$D$16:$M$16,1/(1+$A8)^DCF!$D$18:$M$18)-DCF!$D$16*(1-假设!$B$30)/(1+$A8)^DCF!$D$18+DCF!$M$16*(1+F$4)/($A8-F$4)/(1+$A8)^DCF!$M$18+(假设!$B$31-假设!$B$24))/假设!$B$7/假设!$B$6</f>
        <v>79.4615043270222</v>
      </c>
    </row>
    <row r="9" customFormat="false" ht="15" hidden="false" customHeight="false" outlineLevel="0" collapsed="false">
      <c r="A9" s="41" t="n">
        <v>0.095</v>
      </c>
      <c r="B9" s="42" t="n">
        <f aca="false">(SUMPRODUCT(DCF!$D$16:$M$16,1/(1+$A9)^DCF!$D$18:$M$18)-DCF!$D$16*(1-假设!$B$30)/(1+$A9)^DCF!$D$18+DCF!$M$16*(1+B$4)/($A9-B$4)/(1+$A9)^DCF!$M$18+(假设!$B$31-假设!$B$24))/假设!$B$7/假设!$B$6</f>
        <v>59.5153534578246</v>
      </c>
      <c r="C9" s="42" t="n">
        <f aca="false">(SUMPRODUCT(DCF!$D$16:$M$16,1/(1+$A9)^DCF!$D$18:$M$18)-DCF!$D$16*(1-假设!$B$30)/(1+$A9)^DCF!$D$18+DCF!$M$16*(1+C$4)/($A9-C$4)/(1+$A9)^DCF!$M$18+(假设!$B$31-假设!$B$24))/假设!$B$7/假设!$B$6</f>
        <v>62.052489948009</v>
      </c>
      <c r="D9" s="42" t="n">
        <f aca="false">(SUMPRODUCT(DCF!$D$16:$M$16,1/(1+$A9)^DCF!$D$18:$M$18)-DCF!$D$16*(1-假设!$B$30)/(1+$A9)^DCF!$D$18+DCF!$M$16*(1+D$4)/($A9-D$4)/(1+$A9)^DCF!$M$18+(假设!$B$31-假设!$B$24))/假设!$B$7/假设!$B$6</f>
        <v>64.9520745082197</v>
      </c>
      <c r="E9" s="42" t="n">
        <f aca="false">(SUMPRODUCT(DCF!$D$16:$M$16,1/(1+$A9)^DCF!$D$18:$M$18)-DCF!$D$16*(1-假设!$B$30)/(1+$A9)^DCF!$D$18+DCF!$M$16*(1+E$4)/($A9-E$4)/(1+$A9)^DCF!$M$18+(假设!$B$31-假设!$B$24))/假设!$B$7/假设!$B$6</f>
        <v>68.2977490007705</v>
      </c>
      <c r="F9" s="42" t="n">
        <f aca="false">(SUMPRODUCT(DCF!$D$16:$M$16,1/(1+$A9)^DCF!$D$18:$M$18)-DCF!$D$16*(1-假设!$B$30)/(1+$A9)^DCF!$D$18+DCF!$M$16*(1+F$4)/($A9-F$4)/(1+$A9)^DCF!$M$18+(假设!$B$31-假设!$B$24))/假设!$B$7/假设!$B$6</f>
        <v>72.2010359087465</v>
      </c>
    </row>
    <row r="10" customFormat="false" ht="15" hidden="false" customHeight="false" outlineLevel="0" collapsed="false">
      <c r="A10" s="41" t="n">
        <v>0.1</v>
      </c>
      <c r="B10" s="42" t="n">
        <f aca="false">(SUMPRODUCT(DCF!$D$16:$M$16,1/(1+$A10)^DCF!$D$18:$M$18)-DCF!$D$16*(1-假设!$B$30)/(1+$A10)^DCF!$D$18+DCF!$M$16*(1+B$4)/($A10-B$4)/(1+$A10)^DCF!$M$18+(假设!$B$31-假设!$B$24))/假设!$B$7/假设!$B$6</f>
        <v>55.4517448198403</v>
      </c>
      <c r="C10" s="42" t="n">
        <f aca="false">(SUMPRODUCT(DCF!$D$16:$M$16,1/(1+$A10)^DCF!$D$18:$M$18)-DCF!$D$16*(1-假设!$B$30)/(1+$A10)^DCF!$D$18+DCF!$M$16*(1+C$4)/($A10-C$4)/(1+$A10)^DCF!$M$18+(假设!$B$31-假设!$B$24))/假设!$B$7/假设!$B$6</f>
        <v>57.6080644752974</v>
      </c>
      <c r="D10" s="42" t="n">
        <f aca="false">(SUMPRODUCT(DCF!$D$16:$M$16,1/(1+$A10)^DCF!$D$18:$M$18)-DCF!$D$16*(1-假设!$B$30)/(1+$A10)^DCF!$D$18+DCF!$M$16*(1+D$4)/($A10-D$4)/(1+$A10)^DCF!$M$18+(假设!$B$31-假设!$B$24))/假设!$B$7/假设!$B$6</f>
        <v>60.0518934181486</v>
      </c>
      <c r="E10" s="42" t="n">
        <f aca="false">(SUMPRODUCT(DCF!$D$16:$M$16,1/(1+$A10)^DCF!$D$18:$M$18)-DCF!$D$16*(1-假设!$B$30)/(1+$A10)^DCF!$D$18+DCF!$M$16*(1+E$4)/($A10-E$4)/(1+$A10)^DCF!$M$18+(假设!$B$31-假设!$B$24))/假设!$B$7/假设!$B$6</f>
        <v>62.8448407814073</v>
      </c>
      <c r="F10" s="42" t="n">
        <f aca="false">(SUMPRODUCT(DCF!$D$16:$M$16,1/(1+$A10)^DCF!$D$18:$M$18)-DCF!$D$16*(1-假设!$B$30)/(1+$A10)^DCF!$D$18+DCF!$M$16*(1+F$4)/($A10-F$4)/(1+$A10)^DCF!$M$18+(假设!$B$31-假设!$B$24))/假设!$B$7/假设!$B$6</f>
        <v>66.067472354398</v>
      </c>
    </row>
    <row r="11" customFormat="false" ht="15" hidden="false" customHeight="false" outlineLevel="0" collapsed="false">
      <c r="A11" s="41" t="n">
        <v>0.105</v>
      </c>
      <c r="B11" s="42" t="n">
        <f aca="false">(SUMPRODUCT(DCF!$D$16:$M$16,1/(1+$A11)^DCF!$D$18:$M$18)-DCF!$D$16*(1-假设!$B$30)/(1+$A11)^DCF!$D$18+DCF!$M$16*(1+B$4)/($A11-B$4)/(1+$A11)^DCF!$M$18+(假设!$B$31-假设!$B$24))/假设!$B$7/假设!$B$6</f>
        <v>51.8501386374292</v>
      </c>
      <c r="C11" s="42" t="n">
        <f aca="false">(SUMPRODUCT(DCF!$D$16:$M$16,1/(1+$A11)^DCF!$D$18:$M$18)-DCF!$D$16*(1-假设!$B$30)/(1+$A11)^DCF!$D$18+DCF!$M$16*(1+C$4)/($A11-C$4)/(1+$A11)^DCF!$M$18+(假设!$B$31-假设!$B$24))/假设!$B$7/假设!$B$6</f>
        <v>53.6966900007365</v>
      </c>
      <c r="D11" s="42" t="n">
        <f aca="false">(SUMPRODUCT(DCF!$D$16:$M$16,1/(1+$A11)^DCF!$D$18:$M$18)-DCF!$D$16*(1-假设!$B$30)/(1+$A11)^DCF!$D$18+DCF!$M$16*(1+D$4)/($A11-D$4)/(1+$A11)^DCF!$M$18+(假设!$B$31-假设!$B$24))/假设!$B$7/假设!$B$6</f>
        <v>55.7740602844572</v>
      </c>
      <c r="E11" s="42" t="n">
        <f aca="false">(SUMPRODUCT(DCF!$D$16:$M$16,1/(1+$A11)^DCF!$D$18:$M$18)-DCF!$D$16*(1-假设!$B$30)/(1+$A11)^DCF!$D$18+DCF!$M$16*(1+E$4)/($A11-E$4)/(1+$A11)^DCF!$M$18+(假设!$B$31-假设!$B$24))/假设!$B$7/假设!$B$6</f>
        <v>58.128413272674</v>
      </c>
      <c r="F11" s="42" t="n">
        <f aca="false">(SUMPRODUCT(DCF!$D$16:$M$16,1/(1+$A11)^DCF!$D$18:$M$18)-DCF!$D$16*(1-假设!$B$30)/(1+$A11)^DCF!$D$18+DCF!$M$16*(1+F$4)/($A11-F$4)/(1+$A11)^DCF!$M$18+(假设!$B$31-假设!$B$24))/假设!$B$7/假设!$B$6</f>
        <v>60.8191024020646</v>
      </c>
    </row>
    <row r="13" customFormat="false" ht="15" hidden="false" customHeight="false" outlineLevel="0" collapsed="false">
      <c r="A13" s="5" t="s">
        <v>97</v>
      </c>
      <c r="B13" s="39" t="n">
        <f aca="false">假设!$B$5</f>
        <v>72.95</v>
      </c>
    </row>
    <row r="14" customFormat="false" ht="15" hidden="false" customHeight="false" outlineLevel="0" collapsed="false">
      <c r="A14" s="5" t="s">
        <v>98</v>
      </c>
      <c r="B14" s="43" t="n">
        <f aca="false">假设!$B$29</f>
        <v>0.09066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4" t="s">
        <v>99</v>
      </c>
    </row>
    <row r="2" customFormat="false" ht="26.85" hidden="false" customHeight="false" outlineLevel="0" collapsed="false">
      <c r="A2" s="45" t="s">
        <v>100</v>
      </c>
    </row>
    <row r="3" customFormat="false" ht="25.35" hidden="false" customHeight="false" outlineLevel="0" collapsed="false">
      <c r="A3" s="45" t="s">
        <v>101</v>
      </c>
    </row>
    <row r="4" customFormat="false" ht="26.85" hidden="false" customHeight="false" outlineLevel="0" collapsed="false">
      <c r="A4" s="45" t="s">
        <v>102</v>
      </c>
    </row>
    <row r="5" customFormat="false" ht="15" hidden="false" customHeight="false" outlineLevel="0" collapsed="false">
      <c r="A5" s="45" t="s">
        <v>103</v>
      </c>
    </row>
    <row r="6" customFormat="false" ht="15" hidden="false" customHeight="false" outlineLevel="0" collapsed="false">
      <c r="A6" s="46" t="s">
        <v>104</v>
      </c>
    </row>
    <row r="7" customFormat="false" ht="15" hidden="false" customHeight="false" outlineLevel="0" collapsed="false">
      <c r="A7" s="45" t="s">
        <v>105</v>
      </c>
    </row>
    <row r="8" customFormat="false" ht="15" hidden="false" customHeight="false" outlineLevel="0" collapsed="false">
      <c r="A8" s="46"/>
    </row>
    <row r="9" customFormat="false" ht="15" hidden="false" customHeight="false" outlineLevel="0" collapsed="false">
      <c r="A9" s="44" t="s">
        <v>106</v>
      </c>
    </row>
    <row r="10" customFormat="false" ht="15" hidden="false" customHeight="false" outlineLevel="0" collapsed="false">
      <c r="A10" s="45" t="s">
        <v>107</v>
      </c>
    </row>
    <row r="11" customFormat="false" ht="15" hidden="false" customHeight="false" outlineLevel="0" collapsed="false">
      <c r="A11" s="45" t="s">
        <v>108</v>
      </c>
    </row>
    <row r="12" customFormat="false" ht="15" hidden="false" customHeight="false" outlineLevel="0" collapsed="false">
      <c r="A12" s="45" t="s">
        <v>109</v>
      </c>
    </row>
    <row r="13" customFormat="false" ht="15" hidden="false" customHeight="false" outlineLevel="0" collapsed="false">
      <c r="A13" s="45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2026-10-10T13:56:21Z</dcterms:created>
  <dc:creator>openpyxl</dc:creator>
  <dc:description/>
  <dc:language>en-US</dc:language>
  <cp:lastModifiedBy/>
  <dcterms:modified xsi:type="dcterms:W3CDTF">2026-10-10T13:56:21Z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