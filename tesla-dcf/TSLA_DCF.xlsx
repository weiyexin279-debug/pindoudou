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假设" sheetId="1" state="visible" r:id="rId3"/>
    <sheet name="DCF" sheetId="2" state="visible" r:id="rId4"/>
    <sheet name="敏感性" sheetId="3" state="visible" r:id="rId5"/>
    <sheet name="来源与说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/>
    </comment>
    <comment ref="B5" authorId="0">
      <text/>
    </comment>
    <comment ref="B6" authorId="0">
      <text/>
    </comment>
    <comment ref="B7" authorId="0">
      <text/>
    </comment>
    <comment ref="B9" authorId="0">
      <text/>
    </comment>
    <comment ref="B10" authorId="0">
      <text/>
    </comment>
    <comment ref="B11" authorId="0">
      <text/>
    </comment>
    <comment ref="B12" authorId="0">
      <text/>
    </comment>
    <comment ref="B13" authorId="0">
      <text/>
    </comment>
    <comment ref="B15" authorId="0">
      <text/>
    </comment>
    <comment ref="B16" authorId="0">
      <text/>
    </comment>
    <comment ref="B17" authorId="0">
      <text/>
    </comment>
    <comment ref="B18" authorId="0">
      <text/>
    </comment>
    <comment ref="B19" authorId="0">
      <text/>
    </comment>
    <comment ref="B21" authorId="0">
      <text/>
    </comment>
    <comment ref="B22" authorId="0">
      <text/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977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948 </t>
        </r>
        <r>
          <rPr>
            <sz val="10"/>
            <rFont val="WenQuanYi Zen Hei"/>
            <family val="2"/>
          </rPr>
          <t xml:space="preserve">亿（−</t>
        </r>
        <r>
          <rPr>
            <sz val="10"/>
            <rFont val="Arial"/>
            <family val="2"/>
          </rPr>
          <t xml:space="preserve">3%</t>
        </r>
        <r>
          <rPr>
            <sz val="10"/>
            <rFont val="WenQuanYi Zen Hei"/>
            <family val="2"/>
          </rPr>
          <t xml:space="preserve">），</t>
        </r>
        <r>
          <rPr>
            <sz val="10"/>
            <rFont val="Arial"/>
            <family val="2"/>
          </rPr>
          <t xml:space="preserve">Q4 2025 </t>
        </r>
        <r>
          <rPr>
            <sz val="10"/>
            <rFont val="WenQuanYi Zen Hei"/>
            <family val="2"/>
          </rPr>
          <t xml:space="preserve">股东信</t>
        </r>
      </text>
    </comment>
    <comment ref="B8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70.8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43.6 </t>
        </r>
        <r>
          <rPr>
            <sz val="10"/>
            <rFont val="WenQuanYi Zen Hei"/>
            <family val="2"/>
          </rPr>
          <t xml:space="preserve">亿（−</t>
        </r>
        <r>
          <rPr>
            <sz val="10"/>
            <rFont val="Arial"/>
            <family val="2"/>
          </rPr>
          <t xml:space="preserve">38%</t>
        </r>
        <r>
          <rPr>
            <sz val="10"/>
            <rFont val="WenQuanYi Zen Hei"/>
            <family val="2"/>
          </rPr>
          <t xml:space="preserve">）</t>
        </r>
      </text>
    </comment>
    <comment ref="B11" authorId="0">
      <text>
        <r>
          <rPr>
            <sz val="10"/>
            <rFont val="Arial"/>
            <family val="2"/>
          </rPr>
          <t xml:space="preserve">2024 </t>
        </r>
        <r>
          <rPr>
            <sz val="10"/>
            <rFont val="WenQuanYi Zen Hei"/>
            <family val="2"/>
          </rPr>
          <t xml:space="preserve">约 </t>
        </r>
        <r>
          <rPr>
            <sz val="10"/>
            <rFont val="Arial"/>
            <family val="2"/>
          </rPr>
          <t xml:space="preserve">54 </t>
        </r>
        <r>
          <rPr>
            <sz val="10"/>
            <rFont val="WenQuanYi Zen Hei"/>
            <family val="2"/>
          </rPr>
          <t xml:space="preserve">亿（估）；</t>
        </r>
        <r>
          <rPr>
            <sz val="10"/>
            <rFont val="Arial"/>
            <family val="2"/>
          </rPr>
          <t xml:space="preserve">2025 </t>
        </r>
        <r>
          <rPr>
            <sz val="10"/>
            <rFont val="WenQuanYi Zen Hei"/>
            <family val="2"/>
          </rPr>
          <t xml:space="preserve">约 </t>
        </r>
        <r>
          <rPr>
            <sz val="10"/>
            <rFont val="Arial"/>
            <family val="2"/>
          </rPr>
          <t xml:space="preserve">50 </t>
        </r>
        <r>
          <rPr>
            <sz val="10"/>
            <rFont val="WenQuanYi Zen Hei"/>
            <family val="2"/>
          </rPr>
          <t xml:space="preserve">亿（第三方整理自 </t>
        </r>
        <r>
          <rPr>
            <sz val="10"/>
            <rFont val="Arial"/>
            <family val="2"/>
          </rPr>
          <t xml:space="preserve">SEC </t>
        </r>
        <r>
          <rPr>
            <sz val="10"/>
            <rFont val="WenQuanYi Zen Hei"/>
            <family val="2"/>
          </rPr>
          <t xml:space="preserve">文件）</t>
        </r>
      </text>
    </comment>
    <comment ref="B13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113.4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85.3 </t>
        </r>
        <r>
          <rPr>
            <sz val="10"/>
            <rFont val="WenQuanYi Zen Hei"/>
            <family val="2"/>
          </rPr>
          <t xml:space="preserve">亿</t>
        </r>
      </text>
    </comment>
    <comment ref="B21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149.2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147.5 </t>
        </r>
        <r>
          <rPr>
            <sz val="10"/>
            <rFont val="WenQuanYi Zen Hei"/>
            <family val="2"/>
          </rPr>
          <t xml:space="preserve">亿</t>
        </r>
      </text>
    </comment>
    <comment ref="B22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35.8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62.2 </t>
        </r>
        <r>
          <rPr>
            <sz val="10"/>
            <rFont val="WenQuanYi Zen Hei"/>
            <family val="2"/>
          </rPr>
          <t xml:space="preserve">亿</t>
        </r>
      </text>
    </comment>
    <comment ref="C6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977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948 </t>
        </r>
        <r>
          <rPr>
            <sz val="10"/>
            <rFont val="WenQuanYi Zen Hei"/>
            <family val="2"/>
          </rPr>
          <t xml:space="preserve">亿（−</t>
        </r>
        <r>
          <rPr>
            <sz val="10"/>
            <rFont val="Arial"/>
            <family val="2"/>
          </rPr>
          <t xml:space="preserve">3%</t>
        </r>
        <r>
          <rPr>
            <sz val="10"/>
            <rFont val="WenQuanYi Zen Hei"/>
            <family val="2"/>
          </rPr>
          <t xml:space="preserve">），</t>
        </r>
        <r>
          <rPr>
            <sz val="10"/>
            <rFont val="Arial"/>
            <family val="2"/>
          </rPr>
          <t xml:space="preserve">Q4 2025 </t>
        </r>
        <r>
          <rPr>
            <sz val="10"/>
            <rFont val="WenQuanYi Zen Hei"/>
            <family val="2"/>
          </rPr>
          <t xml:space="preserve">股东信</t>
        </r>
      </text>
    </comment>
    <comment ref="C8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70.8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43.6 </t>
        </r>
        <r>
          <rPr>
            <sz val="10"/>
            <rFont val="WenQuanYi Zen Hei"/>
            <family val="2"/>
          </rPr>
          <t xml:space="preserve">亿（−</t>
        </r>
        <r>
          <rPr>
            <sz val="10"/>
            <rFont val="Arial"/>
            <family val="2"/>
          </rPr>
          <t xml:space="preserve">38%</t>
        </r>
        <r>
          <rPr>
            <sz val="10"/>
            <rFont val="WenQuanYi Zen Hei"/>
            <family val="2"/>
          </rPr>
          <t xml:space="preserve">）</t>
        </r>
      </text>
    </comment>
    <comment ref="C11" authorId="0">
      <text>
        <r>
          <rPr>
            <sz val="10"/>
            <rFont val="Arial"/>
            <family val="2"/>
          </rPr>
          <t xml:space="preserve">2024 </t>
        </r>
        <r>
          <rPr>
            <sz val="10"/>
            <rFont val="WenQuanYi Zen Hei"/>
            <family val="2"/>
          </rPr>
          <t xml:space="preserve">约 </t>
        </r>
        <r>
          <rPr>
            <sz val="10"/>
            <rFont val="Arial"/>
            <family val="2"/>
          </rPr>
          <t xml:space="preserve">54 </t>
        </r>
        <r>
          <rPr>
            <sz val="10"/>
            <rFont val="WenQuanYi Zen Hei"/>
            <family val="2"/>
          </rPr>
          <t xml:space="preserve">亿（估）；</t>
        </r>
        <r>
          <rPr>
            <sz val="10"/>
            <rFont val="Arial"/>
            <family val="2"/>
          </rPr>
          <t xml:space="preserve">2025 </t>
        </r>
        <r>
          <rPr>
            <sz val="10"/>
            <rFont val="WenQuanYi Zen Hei"/>
            <family val="2"/>
          </rPr>
          <t xml:space="preserve">约 </t>
        </r>
        <r>
          <rPr>
            <sz val="10"/>
            <rFont val="Arial"/>
            <family val="2"/>
          </rPr>
          <t xml:space="preserve">50 </t>
        </r>
        <r>
          <rPr>
            <sz val="10"/>
            <rFont val="WenQuanYi Zen Hei"/>
            <family val="2"/>
          </rPr>
          <t xml:space="preserve">亿（第三方整理自 </t>
        </r>
        <r>
          <rPr>
            <sz val="10"/>
            <rFont val="Arial"/>
            <family val="2"/>
          </rPr>
          <t xml:space="preserve">SEC </t>
        </r>
        <r>
          <rPr>
            <sz val="10"/>
            <rFont val="WenQuanYi Zen Hei"/>
            <family val="2"/>
          </rPr>
          <t xml:space="preserve">文件）</t>
        </r>
      </text>
    </comment>
    <comment ref="C13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113.4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85.3 </t>
        </r>
        <r>
          <rPr>
            <sz val="10"/>
            <rFont val="WenQuanYi Zen Hei"/>
            <family val="2"/>
          </rPr>
          <t xml:space="preserve">亿</t>
        </r>
      </text>
    </comment>
    <comment ref="C21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149.2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147.5 </t>
        </r>
        <r>
          <rPr>
            <sz val="10"/>
            <rFont val="WenQuanYi Zen Hei"/>
            <family val="2"/>
          </rPr>
          <t xml:space="preserve">亿</t>
        </r>
      </text>
    </comment>
    <comment ref="C22" authorId="0">
      <text>
        <r>
          <rPr>
            <sz val="10"/>
            <rFont val="Arial"/>
            <family val="2"/>
          </rPr>
          <t xml:space="preserve">2024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35.8 </t>
        </r>
        <r>
          <rPr>
            <sz val="10"/>
            <rFont val="WenQuanYi Zen Hei"/>
            <family val="2"/>
          </rPr>
          <t xml:space="preserve">亿；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WenQuanYi Zen Hei"/>
            <family val="2"/>
          </rPr>
          <t xml:space="preserve">：</t>
        </r>
        <r>
          <rPr>
            <sz val="10"/>
            <rFont val="Arial"/>
            <family val="2"/>
          </rPr>
          <t xml:space="preserve">62.2 </t>
        </r>
        <r>
          <rPr>
            <sz val="10"/>
            <rFont val="WenQuanYi Zen Hei"/>
            <family val="2"/>
          </rPr>
          <t xml:space="preserve">亿</t>
        </r>
      </text>
    </comment>
  </commentList>
</comments>
</file>

<file path=xl/sharedStrings.xml><?xml version="1.0" encoding="utf-8"?>
<sst xmlns="http://schemas.openxmlformats.org/spreadsheetml/2006/main" count="117" uniqueCount="99">
  <si>
    <r>
      <rPr>
        <b val="true"/>
        <sz val="14"/>
        <color rgb="FF000000"/>
        <rFont val="Arial"/>
        <family val="0"/>
        <charset val="1"/>
      </rPr>
      <t xml:space="preserve">Tesla (TSLA) DCF — </t>
    </r>
    <r>
      <rPr>
        <b val="true"/>
        <sz val="14"/>
        <color rgb="FF000000"/>
        <rFont val="WenQuanYi Zen Hei"/>
        <family val="2"/>
      </rPr>
      <t xml:space="preserve">核心假设</t>
    </r>
  </si>
  <si>
    <r>
      <rPr>
        <i val="true"/>
        <sz val="10"/>
        <color rgb="FF666666"/>
        <rFont val="WenQuanYi Zen Hei"/>
        <family val="2"/>
      </rPr>
      <t xml:space="preserve">单位：十亿美元（另注明除外）。蓝色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手工输入；黄色底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关键假设；黑色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公式；绿色</t>
    </r>
    <r>
      <rPr>
        <i val="true"/>
        <sz val="10"/>
        <color rgb="FF666666"/>
        <rFont val="Arial"/>
        <family val="0"/>
        <charset val="1"/>
      </rPr>
      <t xml:space="preserve">=</t>
    </r>
    <r>
      <rPr>
        <i val="true"/>
        <sz val="10"/>
        <color rgb="FF666666"/>
        <rFont val="WenQuanYi Zen Hei"/>
        <family val="2"/>
      </rPr>
      <t xml:space="preserve">跨页引用。</t>
    </r>
  </si>
  <si>
    <t xml:space="preserve">市场数据</t>
  </si>
  <si>
    <t xml:space="preserve">估值基准日</t>
  </si>
  <si>
    <r>
      <rPr>
        <sz val="10"/>
        <color rgb="FF000000"/>
        <rFont val="WenQuanYi Zen Hei"/>
        <family val="2"/>
      </rPr>
      <t xml:space="preserve">股价 </t>
    </r>
    <r>
      <rPr>
        <sz val="10"/>
        <color rgb="FF000000"/>
        <rFont val="Arial"/>
        <family val="0"/>
        <charset val="1"/>
      </rPr>
      <t xml:space="preserve">(US$)</t>
    </r>
  </si>
  <si>
    <r>
      <rPr>
        <sz val="10"/>
        <color rgb="FF000000"/>
        <rFont val="WenQuanYi Zen Hei"/>
        <family val="2"/>
      </rPr>
      <t xml:space="preserve">稀释后股数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十亿股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</si>
  <si>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情景（</t>
    </r>
    <r>
      <rPr>
        <sz val="10"/>
        <color rgb="FF000000"/>
        <rFont val="Arial"/>
        <family val="0"/>
        <charset val="1"/>
      </rPr>
      <t xml:space="preserve">1=</t>
    </r>
    <r>
      <rPr>
        <sz val="10"/>
        <color rgb="FF000000"/>
        <rFont val="WenQuanYi Zen Hei"/>
        <family val="2"/>
      </rPr>
      <t xml:space="preserve">悲观 </t>
    </r>
    <r>
      <rPr>
        <sz val="10"/>
        <color rgb="FF000000"/>
        <rFont val="Arial"/>
        <family val="0"/>
        <charset val="1"/>
      </rPr>
      <t xml:space="preserve">2=</t>
    </r>
    <r>
      <rPr>
        <sz val="10"/>
        <color rgb="FF000000"/>
        <rFont val="WenQuanYi Zen Hei"/>
        <family val="2"/>
      </rPr>
      <t xml:space="preserve">基准 </t>
    </r>
    <r>
      <rPr>
        <sz val="10"/>
        <color rgb="FF000000"/>
        <rFont val="Arial"/>
        <family val="0"/>
        <charset val="1"/>
      </rPr>
      <t xml:space="preserve">3=</t>
    </r>
    <r>
      <rPr>
        <sz val="10"/>
        <color rgb="FF000000"/>
        <rFont val="WenQuanYi Zen Hei"/>
        <family val="2"/>
      </rPr>
      <t xml:space="preserve">乐观）</t>
    </r>
  </si>
  <si>
    <t xml:space="preserve">WACC</t>
  </si>
  <si>
    <t xml:space="preserve">无风险利率</t>
  </si>
  <si>
    <t xml:space="preserve">股权风险溢价</t>
  </si>
  <si>
    <t xml:space="preserve">Beta</t>
  </si>
  <si>
    <t xml:space="preserve">税前债务成本</t>
  </si>
  <si>
    <r>
      <rPr>
        <sz val="10"/>
        <color rgb="FF000000"/>
        <rFont val="WenQuanYi Zen Hei"/>
        <family val="2"/>
      </rPr>
      <t xml:space="preserve">目标负债率 </t>
    </r>
    <r>
      <rPr>
        <sz val="10"/>
        <color rgb="FF000000"/>
        <rFont val="Arial"/>
        <family val="0"/>
        <charset val="1"/>
      </rPr>
      <t xml:space="preserve">D/(D+E)</t>
    </r>
  </si>
  <si>
    <t xml:space="preserve">预测期</t>
  </si>
  <si>
    <t xml:space="preserve">有效税率</t>
  </si>
  <si>
    <r>
      <rPr>
        <sz val="10"/>
        <color rgb="FF000000"/>
        <rFont val="WenQuanYi Zen Hei"/>
        <family val="2"/>
      </rPr>
      <t xml:space="preserve">永续增长率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</si>
  <si>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WenQuanYi Zen Hei"/>
        <family val="2"/>
      </rPr>
      <t xml:space="preserve">折旧摊销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收入</t>
    </r>
  </si>
  <si>
    <r>
      <rPr>
        <sz val="10"/>
        <color rgb="FF000000"/>
        <rFont val="WenQuanYi Zen Hei"/>
        <family val="2"/>
      </rPr>
      <t xml:space="preserve">永续期资本开支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折旧</t>
    </r>
  </si>
  <si>
    <r>
      <rPr>
        <sz val="10"/>
        <color rgb="FF000000"/>
        <rFont val="WenQuanYi Zen Hei"/>
        <family val="2"/>
      </rPr>
      <t xml:space="preserve">增量营运资本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增量收入</t>
    </r>
  </si>
  <si>
    <r>
      <rPr>
        <b val="true"/>
        <sz val="10"/>
        <color rgb="FFFFFFFF"/>
        <rFont val="WenQuanYi Zen Hei"/>
        <family val="2"/>
      </rPr>
      <t xml:space="preserve">资产负债表 </t>
    </r>
    <r>
      <rPr>
        <b val="true"/>
        <sz val="10"/>
        <color rgb="FFFFFFFF"/>
        <rFont val="Arial"/>
        <family val="0"/>
        <charset val="1"/>
      </rPr>
      <t xml:space="preserve">(2026-06-30)</t>
    </r>
  </si>
  <si>
    <t xml:space="preserve">现金及短期投资</t>
  </si>
  <si>
    <t xml:space="preserve">有息负债及融资租赁</t>
  </si>
  <si>
    <t xml:space="preserve">计算得出</t>
  </si>
  <si>
    <r>
      <rPr>
        <sz val="10"/>
        <color rgb="FF000000"/>
        <rFont val="WenQuanYi Zen Hei"/>
        <family val="2"/>
      </rPr>
      <t xml:space="preserve">股权成本 </t>
    </r>
    <r>
      <rPr>
        <sz val="10"/>
        <color rgb="FF000000"/>
        <rFont val="Arial"/>
        <family val="0"/>
        <charset val="1"/>
      </rPr>
      <t xml:space="preserve">Ke</t>
    </r>
  </si>
  <si>
    <r>
      <rPr>
        <sz val="10"/>
        <color rgb="FF000000"/>
        <rFont val="WenQuanYi Zen Hei"/>
        <family val="2"/>
      </rPr>
      <t xml:space="preserve">税后债务成本 </t>
    </r>
    <r>
      <rPr>
        <sz val="10"/>
        <color rgb="FF000000"/>
        <rFont val="Arial"/>
        <family val="0"/>
        <charset val="1"/>
      </rPr>
      <t xml:space="preserve">Kd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</si>
  <si>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年剩余期间（年）</t>
    </r>
  </si>
  <si>
    <t xml:space="preserve">净现金</t>
  </si>
  <si>
    <t xml:space="preserve">市值</t>
  </si>
  <si>
    <r>
      <rPr>
        <b val="true"/>
        <sz val="10"/>
        <color rgb="FFFFFFFF"/>
        <rFont val="WenQuanYi Zen Hei"/>
        <family val="2"/>
      </rPr>
      <t xml:space="preserve">情景假设（</t>
    </r>
    <r>
      <rPr>
        <b val="true"/>
        <sz val="10"/>
        <color rgb="FFFFFFFF"/>
        <rFont val="Arial"/>
        <family val="0"/>
        <charset val="1"/>
      </rPr>
      <t xml:space="preserve">2026E–2035E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</si>
  <si>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</si>
  <si>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</si>
  <si>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</si>
  <si>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</si>
  <si>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</si>
  <si>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</si>
  <si>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</si>
  <si>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</si>
  <si>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</si>
  <si>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</si>
  <si>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收入增长率</t>
  </si>
  <si>
    <t xml:space="preserve">  悲观</t>
  </si>
  <si>
    <t xml:space="preserve">  基准</t>
  </si>
  <si>
    <t xml:space="preserve">  乐观</t>
  </si>
  <si>
    <r>
      <rPr>
        <b val="true"/>
        <sz val="10"/>
        <color rgb="FF000000"/>
        <rFont val="Arial"/>
        <family val="0"/>
        <charset val="1"/>
      </rPr>
      <t xml:space="preserve">EBIT </t>
    </r>
    <r>
      <rPr>
        <b val="true"/>
        <sz val="10"/>
        <color rgb="FF000000"/>
        <rFont val="WenQuanYi Zen Hei"/>
        <family val="2"/>
      </rPr>
      <t xml:space="preserve">利润率</t>
    </r>
  </si>
  <si>
    <r>
      <rPr>
        <b val="true"/>
        <sz val="10"/>
        <color rgb="FF000000"/>
        <rFont val="WenQuanYi Zen Hei"/>
        <family val="2"/>
      </rPr>
      <t xml:space="preserve">资本开支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收入</t>
    </r>
  </si>
  <si>
    <r>
      <rPr>
        <i val="true"/>
        <sz val="9"/>
        <color rgb="FF666666"/>
        <rFont val="WenQuanYi Zen Hei"/>
        <family val="2"/>
      </rPr>
      <t xml:space="preserve">注：</t>
    </r>
    <r>
      <rPr>
        <i val="true"/>
        <sz val="9"/>
        <color rgb="FF666666"/>
        <rFont val="Arial"/>
        <family val="0"/>
        <charset val="1"/>
      </rPr>
      <t xml:space="preserve">2026E </t>
    </r>
    <r>
      <rPr>
        <i val="true"/>
        <sz val="9"/>
        <color rgb="FF666666"/>
        <rFont val="WenQuanYi Zen Hei"/>
        <family val="2"/>
      </rPr>
      <t xml:space="preserve">资本开支 </t>
    </r>
    <r>
      <rPr>
        <i val="true"/>
        <sz val="9"/>
        <color rgb="FF666666"/>
        <rFont val="Arial"/>
        <family val="0"/>
        <charset val="1"/>
      </rPr>
      <t xml:space="preserve">23.3% = </t>
    </r>
    <r>
      <rPr>
        <i val="true"/>
        <sz val="9"/>
        <color rgb="FF666666"/>
        <rFont val="WenQuanYi Zen Hei"/>
        <family val="2"/>
      </rPr>
      <t xml:space="preserve">管理层全年指引约 </t>
    </r>
    <r>
      <rPr>
        <i val="true"/>
        <sz val="9"/>
        <color rgb="FF666666"/>
        <rFont val="Arial"/>
        <family val="0"/>
        <charset val="1"/>
      </rPr>
      <t xml:space="preserve">250 </t>
    </r>
    <r>
      <rPr>
        <i val="true"/>
        <sz val="9"/>
        <color rgb="FF666666"/>
        <rFont val="WenQuanYi Zen Hei"/>
        <family val="2"/>
      </rPr>
      <t xml:space="preserve">亿美元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WenQuanYi Zen Hei"/>
        <family val="2"/>
      </rPr>
      <t xml:space="preserve">预测收入约 </t>
    </r>
    <r>
      <rPr>
        <i val="true"/>
        <sz val="9"/>
        <color rgb="FF666666"/>
        <rFont val="Arial"/>
        <family val="0"/>
        <charset val="1"/>
      </rPr>
      <t xml:space="preserve">1,070 </t>
    </r>
    <r>
      <rPr>
        <i val="true"/>
        <sz val="9"/>
        <color rgb="FF666666"/>
        <rFont val="WenQuanYi Zen Hei"/>
        <family val="2"/>
      </rPr>
      <t xml:space="preserve">亿；</t>
    </r>
    <r>
      <rPr>
        <i val="true"/>
        <sz val="9"/>
        <color rgb="FF666666"/>
        <rFont val="Arial"/>
        <family val="0"/>
        <charset val="1"/>
      </rPr>
      <t xml:space="preserve">2026E </t>
    </r>
    <r>
      <rPr>
        <i val="true"/>
        <sz val="9"/>
        <color rgb="FF666666"/>
        <rFont val="WenQuanYi Zen Hei"/>
        <family val="2"/>
      </rPr>
      <t xml:space="preserve">收入基准 ≈ </t>
    </r>
    <r>
      <rPr>
        <i val="true"/>
        <sz val="9"/>
        <color rgb="FF666666"/>
        <rFont val="Arial"/>
        <family val="0"/>
        <charset val="1"/>
      </rPr>
      <t xml:space="preserve">Visible Alpha </t>
    </r>
    <r>
      <rPr>
        <i val="true"/>
        <sz val="9"/>
        <color rgb="FF666666"/>
        <rFont val="WenQuanYi Zen Hei"/>
        <family val="2"/>
      </rPr>
      <t xml:space="preserve">一致预期 </t>
    </r>
    <r>
      <rPr>
        <i val="true"/>
        <sz val="9"/>
        <color rgb="FF666666"/>
        <rFont val="Arial"/>
        <family val="0"/>
        <charset val="1"/>
      </rPr>
      <t xml:space="preserve">1,069 </t>
    </r>
    <r>
      <rPr>
        <i val="true"/>
        <sz val="9"/>
        <color rgb="FF666666"/>
        <rFont val="WenQuanYi Zen Hei"/>
        <family val="2"/>
      </rPr>
      <t xml:space="preserve">亿</t>
    </r>
  </si>
  <si>
    <r>
      <rPr>
        <b val="true"/>
        <sz val="14"/>
        <color rgb="FF000000"/>
        <rFont val="Arial"/>
        <family val="0"/>
        <charset val="1"/>
      </rPr>
      <t xml:space="preserve">Tesla DCF </t>
    </r>
    <r>
      <rPr>
        <b val="true"/>
        <sz val="14"/>
        <color rgb="FF000000"/>
        <rFont val="WenQuanYi Zen Hei"/>
        <family val="2"/>
      </rPr>
      <t xml:space="preserve">预测（十亿美元）</t>
    </r>
  </si>
  <si>
    <t xml:space="preserve">年度</t>
  </si>
  <si>
    <t xml:space="preserve">2024A</t>
  </si>
  <si>
    <t xml:space="preserve">2025A</t>
  </si>
  <si>
    <t xml:space="preserve">营业收入</t>
  </si>
  <si>
    <r>
      <rPr>
        <sz val="10"/>
        <color rgb="FF000000"/>
        <rFont val="Arial"/>
        <family val="0"/>
        <charset val="1"/>
      </rPr>
      <t xml:space="preserve">EBIT </t>
    </r>
    <r>
      <rPr>
        <sz val="10"/>
        <color rgb="FF000000"/>
        <rFont val="WenQuanYi Zen Hei"/>
        <family val="2"/>
      </rPr>
      <t xml:space="preserve">利润率</t>
    </r>
  </si>
  <si>
    <r>
      <rPr>
        <sz val="10"/>
        <color rgb="FF000000"/>
        <rFont val="Arial"/>
        <family val="0"/>
        <charset val="1"/>
      </rPr>
      <t xml:space="preserve">EBIT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GAAP</t>
    </r>
    <r>
      <rPr>
        <sz val="10"/>
        <color rgb="FF000000"/>
        <rFont val="WenQuanYi Zen Hei"/>
        <family val="2"/>
      </rPr>
      <t xml:space="preserve">，含股权激励费用）</t>
    </r>
  </si>
  <si>
    <t xml:space="preserve">所得税</t>
  </si>
  <si>
    <t xml:space="preserve">NOPAT</t>
  </si>
  <si>
    <t xml:space="preserve">折旧摊销</t>
  </si>
  <si>
    <r>
      <rPr>
        <sz val="10"/>
        <color rgb="FF000000"/>
        <rFont val="WenQuanYi Zen Hei"/>
        <family val="2"/>
      </rPr>
      <t xml:space="preserve">资本开支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收入</t>
    </r>
  </si>
  <si>
    <t xml:space="preserve">资本开支</t>
  </si>
  <si>
    <t xml:space="preserve">增量营运资本</t>
  </si>
  <si>
    <r>
      <rPr>
        <b val="true"/>
        <sz val="11"/>
        <color rgb="FF000000"/>
        <rFont val="WenQuanYi Zen Hei"/>
        <family val="2"/>
      </rPr>
      <t xml:space="preserve">自由现金流 </t>
    </r>
    <r>
      <rPr>
        <b val="true"/>
        <sz val="11"/>
        <color rgb="FF000000"/>
        <rFont val="Arial"/>
        <family val="0"/>
        <charset val="1"/>
      </rPr>
      <t xml:space="preserve">FCFF</t>
    </r>
  </si>
  <si>
    <t xml:space="preserve">折现期（年）</t>
  </si>
  <si>
    <t xml:space="preserve">折现因子</t>
  </si>
  <si>
    <r>
      <rPr>
        <b val="true"/>
        <sz val="11"/>
        <color rgb="FF000000"/>
        <rFont val="Arial"/>
        <family val="0"/>
        <charset val="1"/>
      </rPr>
      <t xml:space="preserve">FCFF </t>
    </r>
    <r>
      <rPr>
        <b val="true"/>
        <sz val="11"/>
        <color rgb="FF000000"/>
        <rFont val="WenQuanYi Zen Hei"/>
        <family val="2"/>
      </rPr>
      <t xml:space="preserve">现值</t>
    </r>
  </si>
  <si>
    <r>
      <rPr>
        <i val="true"/>
        <sz val="9"/>
        <color rgb="FF666666"/>
        <rFont val="WenQuanYi Zen Hei"/>
        <family val="2"/>
      </rPr>
      <t xml:space="preserve">注：</t>
    </r>
    <r>
      <rPr>
        <i val="true"/>
        <sz val="9"/>
        <color rgb="FF666666"/>
        <rFont val="Arial"/>
        <family val="0"/>
        <charset val="1"/>
      </rPr>
      <t xml:space="preserve">2026E </t>
    </r>
    <r>
      <rPr>
        <i val="true"/>
        <sz val="9"/>
        <color rgb="FF666666"/>
        <rFont val="WenQuanYi Zen Hei"/>
        <family val="2"/>
      </rPr>
      <t xml:space="preserve">现金流仅计入基准日后剩余部分；</t>
    </r>
    <r>
      <rPr>
        <i val="true"/>
        <sz val="9"/>
        <color rgb="FF666666"/>
        <rFont val="Arial"/>
        <family val="0"/>
        <charset val="1"/>
      </rPr>
      <t xml:space="preserve">EBIT </t>
    </r>
    <r>
      <rPr>
        <i val="true"/>
        <sz val="9"/>
        <color rgb="FF666666"/>
        <rFont val="WenQuanYi Zen Hei"/>
        <family val="2"/>
      </rPr>
      <t xml:space="preserve">已扣除股权激励费用（视为真实成本）</t>
    </r>
  </si>
  <si>
    <t xml:space="preserve">参考：经营现金流</t>
  </si>
  <si>
    <r>
      <rPr>
        <sz val="10"/>
        <color rgb="FF000000"/>
        <rFont val="WenQuanYi Zen Hei"/>
        <family val="2"/>
      </rPr>
      <t xml:space="preserve">参考：公司口径 </t>
    </r>
    <r>
      <rPr>
        <sz val="10"/>
        <color rgb="FF000000"/>
        <rFont val="Arial"/>
        <family val="0"/>
        <charset val="1"/>
      </rPr>
      <t xml:space="preserve">FCF</t>
    </r>
  </si>
  <si>
    <t xml:space="preserve">估值汇总</t>
  </si>
  <si>
    <r>
      <rPr>
        <sz val="10"/>
        <color rgb="FF000000"/>
        <rFont val="WenQuanYi Zen Hei"/>
        <family val="2"/>
      </rPr>
      <t xml:space="preserve">预测期 </t>
    </r>
    <r>
      <rPr>
        <sz val="10"/>
        <color rgb="FF000000"/>
        <rFont val="Arial"/>
        <family val="0"/>
        <charset val="1"/>
      </rPr>
      <t xml:space="preserve">FCFF </t>
    </r>
    <r>
      <rPr>
        <sz val="10"/>
        <color rgb="FF000000"/>
        <rFont val="WenQuanYi Zen Hei"/>
        <family val="2"/>
      </rPr>
      <t xml:space="preserve">现值合计</t>
    </r>
  </si>
  <si>
    <r>
      <rPr>
        <sz val="10"/>
        <color rgb="FF000000"/>
        <rFont val="WenQuanYi Zen Hei"/>
        <family val="2"/>
      </rPr>
      <t xml:space="preserve">终值（</t>
    </r>
    <r>
      <rPr>
        <sz val="10"/>
        <color rgb="FF000000"/>
        <rFont val="Arial"/>
        <family val="0"/>
        <charset val="1"/>
      </rPr>
      <t xml:space="preserve">Gordon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2035E </t>
    </r>
    <r>
      <rPr>
        <sz val="10"/>
        <color rgb="FF000000"/>
        <rFont val="WenQuanYi Zen Hei"/>
        <family val="2"/>
      </rPr>
      <t xml:space="preserve">末）</t>
    </r>
  </si>
  <si>
    <t xml:space="preserve">终值现值</t>
  </si>
  <si>
    <r>
      <rPr>
        <b val="true"/>
        <sz val="10"/>
        <color rgb="FF000000"/>
        <rFont val="WenQuanYi Zen Hei"/>
        <family val="2"/>
      </rPr>
      <t xml:space="preserve">企业价值 </t>
    </r>
    <r>
      <rPr>
        <b val="true"/>
        <sz val="10"/>
        <color rgb="FF000000"/>
        <rFont val="Arial"/>
        <family val="0"/>
        <charset val="1"/>
      </rPr>
      <t xml:space="preserve">EV</t>
    </r>
  </si>
  <si>
    <t xml:space="preserve">加：净现金</t>
  </si>
  <si>
    <t xml:space="preserve">股权价值</t>
  </si>
  <si>
    <r>
      <rPr>
        <b val="true"/>
        <sz val="10"/>
        <color rgb="FF000000"/>
        <rFont val="WenQuanYi Zen Hei"/>
        <family val="2"/>
      </rPr>
      <t xml:space="preserve">每股价值（</t>
    </r>
    <r>
      <rPr>
        <b val="true"/>
        <sz val="10"/>
        <color rgb="FF000000"/>
        <rFont val="Arial"/>
        <family val="0"/>
        <charset val="1"/>
      </rPr>
      <t xml:space="preserve">US$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</si>
  <si>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当前股价（</t>
    </r>
    <r>
      <rPr>
        <sz val="10"/>
        <color rgb="FF000000"/>
        <rFont val="Arial"/>
        <family val="0"/>
        <charset val="1"/>
      </rPr>
      <t xml:space="preserve">US$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</si>
  <si>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上行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下行空间</t>
    </r>
  </si>
  <si>
    <r>
      <rPr>
        <sz val="10"/>
        <color rgb="FF000000"/>
        <rFont val="WenQuanYi Zen Hei"/>
        <family val="2"/>
      </rPr>
      <t xml:space="preserve">终值占 </t>
    </r>
    <r>
      <rPr>
        <sz val="10"/>
        <color rgb="FF000000"/>
        <rFont val="Arial"/>
        <family val="0"/>
        <charset val="1"/>
      </rPr>
      <t xml:space="preserve">EV </t>
    </r>
    <r>
      <rPr>
        <sz val="10"/>
        <color rgb="FF000000"/>
        <rFont val="WenQuanYi Zen Hei"/>
        <family val="2"/>
      </rPr>
      <t xml:space="preserve">比重</t>
    </r>
  </si>
  <si>
    <r>
      <rPr>
        <sz val="10"/>
        <color rgb="FF000000"/>
        <rFont val="WenQuanYi Zen Hei"/>
        <family val="2"/>
      </rPr>
      <t xml:space="preserve">反推：市价隐含 </t>
    </r>
    <r>
      <rPr>
        <sz val="10"/>
        <color rgb="FF000000"/>
        <rFont val="Arial"/>
        <family val="0"/>
        <charset val="1"/>
      </rPr>
      <t xml:space="preserve">2035E FCFF</t>
    </r>
  </si>
  <si>
    <r>
      <rPr>
        <sz val="10"/>
        <color rgb="FF000000"/>
        <rFont val="WenQuanYi Zen Hei"/>
        <family val="2"/>
      </rPr>
      <t xml:space="preserve">市价隐含 </t>
    </r>
    <r>
      <rPr>
        <sz val="10"/>
        <color rgb="FF000000"/>
        <rFont val="Arial"/>
        <family val="0"/>
        <charset val="1"/>
      </rPr>
      <t xml:space="preserve">FCFF /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2035E FCFF</t>
    </r>
  </si>
  <si>
    <r>
      <rPr>
        <i val="true"/>
        <sz val="9"/>
        <color rgb="FF666666"/>
        <rFont val="WenQuanYi Zen Hei"/>
        <family val="2"/>
      </rPr>
      <t xml:space="preserve">反推：在模型 </t>
    </r>
    <r>
      <rPr>
        <i val="true"/>
        <sz val="9"/>
        <color rgb="FF666666"/>
        <rFont val="Arial"/>
        <family val="0"/>
        <charset val="1"/>
      </rPr>
      <t xml:space="preserve">WACC </t>
    </r>
    <r>
      <rPr>
        <i val="true"/>
        <sz val="9"/>
        <color rgb="FF666666"/>
        <rFont val="WenQuanYi Zen Hei"/>
        <family val="2"/>
      </rPr>
      <t xml:space="preserve">与 </t>
    </r>
    <r>
      <rPr>
        <i val="true"/>
        <sz val="9"/>
        <color rgb="FF666666"/>
        <rFont val="Arial"/>
        <family val="0"/>
        <charset val="1"/>
      </rPr>
      <t xml:space="preserve">g </t>
    </r>
    <r>
      <rPr>
        <i val="true"/>
        <sz val="9"/>
        <color rgb="FF666666"/>
        <rFont val="WenQuanYi Zen Hei"/>
        <family val="2"/>
      </rPr>
      <t xml:space="preserve">下，要支撑当前市值，</t>
    </r>
    <r>
      <rPr>
        <i val="true"/>
        <sz val="9"/>
        <color rgb="FF666666"/>
        <rFont val="Arial"/>
        <family val="0"/>
        <charset val="1"/>
      </rPr>
      <t xml:space="preserve">2035E </t>
    </r>
    <r>
      <rPr>
        <i val="true"/>
        <sz val="9"/>
        <color rgb="FF666666"/>
        <rFont val="WenQuanYi Zen Hei"/>
        <family val="2"/>
      </rPr>
      <t xml:space="preserve">需要达到的自由现金流</t>
    </r>
  </si>
  <si>
    <r>
      <rPr>
        <b val="true"/>
        <sz val="14"/>
        <color rgb="FF000000"/>
        <rFont val="WenQuanYi Zen Hei"/>
        <family val="2"/>
      </rPr>
      <t xml:space="preserve">每股价值（</t>
    </r>
    <r>
      <rPr>
        <b val="true"/>
        <sz val="14"/>
        <color rgb="FF000000"/>
        <rFont val="Arial"/>
        <family val="0"/>
        <charset val="1"/>
      </rPr>
      <t xml:space="preserve">US$</t>
    </r>
    <r>
      <rPr>
        <b val="true"/>
        <sz val="14"/>
        <color rgb="FF000000"/>
        <rFont val="WenQuanYi Zen Hei"/>
        <family val="2"/>
      </rPr>
      <t xml:space="preserve">）敏感性：</t>
    </r>
    <r>
      <rPr>
        <b val="true"/>
        <sz val="14"/>
        <color rgb="FF000000"/>
        <rFont val="Arial"/>
        <family val="0"/>
        <charset val="1"/>
      </rPr>
      <t xml:space="preserve">WACC × </t>
    </r>
    <r>
      <rPr>
        <b val="true"/>
        <sz val="14"/>
        <color rgb="FF000000"/>
        <rFont val="WenQuanYi Zen Hei"/>
        <family val="2"/>
      </rPr>
      <t xml:space="preserve">永续增长率（当前情景）</t>
    </r>
  </si>
  <si>
    <r>
      <rPr>
        <i val="true"/>
        <sz val="10"/>
        <color rgb="FF666666"/>
        <rFont val="WenQuanYi Zen Hei"/>
        <family val="2"/>
      </rPr>
      <t xml:space="preserve">每格独立重算 </t>
    </r>
    <r>
      <rPr>
        <i val="true"/>
        <sz val="10"/>
        <color rgb="FF666666"/>
        <rFont val="Arial"/>
        <family val="0"/>
        <charset val="1"/>
      </rPr>
      <t xml:space="preserve">FCFF </t>
    </r>
    <r>
      <rPr>
        <i val="true"/>
        <sz val="10"/>
        <color rgb="FF666666"/>
        <rFont val="WenQuanYi Zen Hei"/>
        <family val="2"/>
      </rPr>
      <t xml:space="preserve">折现与终值；切换 假设 页情景后自动更新</t>
    </r>
  </si>
  <si>
    <t xml:space="preserve">WACC ↓ / g →</t>
  </si>
  <si>
    <t xml:space="preserve">当前股价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</si>
  <si>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WACC</t>
    </r>
  </si>
  <si>
    <t xml:space="preserve">数据来源</t>
  </si>
  <si>
    <r>
      <rPr>
        <sz val="10"/>
        <color rgb="FF000000"/>
        <rFont val="Arial"/>
        <family val="0"/>
        <charset val="1"/>
      </rPr>
      <t xml:space="preserve">Q2 2026</t>
    </r>
    <r>
      <rPr>
        <sz val="10"/>
        <color rgb="FF000000"/>
        <rFont val="WenQuanYi Zen Hei"/>
        <family val="2"/>
      </rPr>
      <t xml:space="preserve">：收入 </t>
    </r>
    <r>
      <rPr>
        <sz val="10"/>
        <color rgb="FF000000"/>
        <rFont val="Arial"/>
        <family val="0"/>
        <charset val="1"/>
      </rPr>
      <t xml:space="preserve">282.4 </t>
    </r>
    <r>
      <rPr>
        <sz val="10"/>
        <color rgb="FF000000"/>
        <rFont val="WenQuanYi Zen Hei"/>
        <family val="2"/>
      </rPr>
      <t xml:space="preserve">亿（</t>
    </r>
    <r>
      <rPr>
        <sz val="10"/>
        <color rgb="FF000000"/>
        <rFont val="Arial"/>
        <family val="0"/>
        <charset val="1"/>
      </rPr>
      <t xml:space="preserve">+26%</t>
    </r>
    <r>
      <rPr>
        <sz val="10"/>
        <color rgb="FF000000"/>
        <rFont val="WenQuanYi Zen Hei"/>
        <family val="2"/>
      </rPr>
      <t xml:space="preserve">），营业利润 </t>
    </r>
    <r>
      <rPr>
        <sz val="10"/>
        <color rgb="FF000000"/>
        <rFont val="Arial"/>
        <family val="0"/>
        <charset val="1"/>
      </rPr>
      <t xml:space="preserve">3.98 </t>
    </r>
    <r>
      <rPr>
        <sz val="10"/>
        <color rgb="FF000000"/>
        <rFont val="WenQuanYi Zen Hei"/>
        <family val="2"/>
      </rPr>
      <t xml:space="preserve">亿（利润率 </t>
    </r>
    <r>
      <rPr>
        <sz val="10"/>
        <color rgb="FF000000"/>
        <rFont val="Arial"/>
        <family val="0"/>
        <charset val="1"/>
      </rPr>
      <t xml:space="preserve">1.4%</t>
    </r>
    <r>
      <rPr>
        <sz val="10"/>
        <color rgb="FF000000"/>
        <rFont val="WenQuanYi Zen Hei"/>
        <family val="2"/>
      </rPr>
      <t xml:space="preserve">），经营现金流 </t>
    </r>
    <r>
      <rPr>
        <sz val="10"/>
        <color rgb="FF000000"/>
        <rFont val="Arial"/>
        <family val="0"/>
        <charset val="1"/>
      </rPr>
      <t xml:space="preserve">47.0 </t>
    </r>
    <r>
      <rPr>
        <sz val="10"/>
        <color rgb="FF000000"/>
        <rFont val="WenQuanYi Zen Hei"/>
        <family val="2"/>
      </rPr>
      <t xml:space="preserve">亿，资本开支 </t>
    </r>
    <r>
      <rPr>
        <sz val="10"/>
        <color rgb="FF000000"/>
        <rFont val="Arial"/>
        <family val="0"/>
        <charset val="1"/>
      </rPr>
      <t xml:space="preserve">57.9 </t>
    </r>
    <r>
      <rPr>
        <sz val="10"/>
        <color rgb="FF000000"/>
        <rFont val="WenQuanYi Zen Hei"/>
        <family val="2"/>
      </rPr>
      <t xml:space="preserve">亿，</t>
    </r>
    <r>
      <rPr>
        <sz val="10"/>
        <color rgb="FF000000"/>
        <rFont val="Arial"/>
        <family val="0"/>
        <charset val="1"/>
      </rPr>
      <t xml:space="preserve">FCF −10.9 </t>
    </r>
    <r>
      <rPr>
        <sz val="10"/>
        <color rgb="FF000000"/>
        <rFont val="WenQuanYi Zen Hei"/>
        <family val="2"/>
      </rPr>
      <t xml:space="preserve">亿，现金及投资 </t>
    </r>
    <r>
      <rPr>
        <sz val="10"/>
        <color rgb="FF000000"/>
        <rFont val="Arial"/>
        <family val="0"/>
        <charset val="1"/>
      </rPr>
      <t xml:space="preserve">435.2 </t>
    </r>
    <r>
      <rPr>
        <sz val="10"/>
        <color rgb="FF000000"/>
        <rFont val="WenQuanYi Zen Hei"/>
        <family val="2"/>
      </rPr>
      <t xml:space="preserve">亿，全年资本开支指引约 </t>
    </r>
    <r>
      <rPr>
        <sz val="10"/>
        <color rgb="FF000000"/>
        <rFont val="Arial"/>
        <family val="0"/>
        <charset val="1"/>
      </rPr>
      <t xml:space="preserve">250 </t>
    </r>
    <r>
      <rPr>
        <sz val="10"/>
        <color rgb="FF000000"/>
        <rFont val="WenQuanYi Zen Hei"/>
        <family val="2"/>
      </rPr>
      <t xml:space="preserve">亿 — </t>
    </r>
    <r>
      <rPr>
        <sz val="10"/>
        <color rgb="FF000000"/>
        <rFont val="Arial"/>
        <family val="0"/>
        <charset val="1"/>
      </rPr>
      <t xml:space="preserve">https://electrek.co/2026/07/22/tesla-tsla-q2-2026-financial-results/ 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https://www.sec.gov/Archives/edgar/data/0001318605/000162828026049213/exhibit991.htm</t>
    </r>
  </si>
  <si>
    <r>
      <rPr>
        <sz val="10"/>
        <color rgb="FF000000"/>
        <rFont val="Arial"/>
        <family val="0"/>
        <charset val="1"/>
      </rPr>
      <t xml:space="preserve">Q1 2026</t>
    </r>
    <r>
      <rPr>
        <sz val="10"/>
        <color rgb="FF000000"/>
        <rFont val="WenQuanYi Zen Hei"/>
        <family val="2"/>
      </rPr>
      <t xml:space="preserve">：收入 </t>
    </r>
    <r>
      <rPr>
        <sz val="10"/>
        <color rgb="FF000000"/>
        <rFont val="Arial"/>
        <family val="0"/>
        <charset val="1"/>
      </rPr>
      <t xml:space="preserve">223.9 </t>
    </r>
    <r>
      <rPr>
        <sz val="10"/>
        <color rgb="FF000000"/>
        <rFont val="WenQuanYi Zen Hei"/>
        <family val="2"/>
      </rPr>
      <t xml:space="preserve">亿（</t>
    </r>
    <r>
      <rPr>
        <sz val="10"/>
        <color rgb="FF000000"/>
        <rFont val="Arial"/>
        <family val="0"/>
        <charset val="1"/>
      </rPr>
      <t xml:space="preserve">+16%</t>
    </r>
    <r>
      <rPr>
        <sz val="10"/>
        <color rgb="FF000000"/>
        <rFont val="WenQuanYi Zen Hei"/>
        <family val="2"/>
      </rPr>
      <t xml:space="preserve">），营业利润 </t>
    </r>
    <r>
      <rPr>
        <sz val="10"/>
        <color rgb="FF000000"/>
        <rFont val="Arial"/>
        <family val="0"/>
        <charset val="1"/>
      </rPr>
      <t xml:space="preserve">9.41 </t>
    </r>
    <r>
      <rPr>
        <sz val="10"/>
        <color rgb="FF000000"/>
        <rFont val="WenQuanYi Zen Hei"/>
        <family val="2"/>
      </rPr>
      <t xml:space="preserve">亿 — </t>
    </r>
    <r>
      <rPr>
        <sz val="10"/>
        <color rgb="FF000000"/>
        <rFont val="Arial"/>
        <family val="0"/>
        <charset val="1"/>
      </rPr>
      <t xml:space="preserve">https://www.tikr.com/blog/tesla-q1-2026-earnings-revenue-up-16-eps-up-52-but-free-cash-flow-turns-negative</t>
    </r>
  </si>
  <si>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WenQuanYi Zen Hei"/>
        <family val="2"/>
      </rPr>
      <t xml:space="preserve">：收入 </t>
    </r>
    <r>
      <rPr>
        <sz val="10"/>
        <color rgb="FF000000"/>
        <rFont val="Arial"/>
        <family val="0"/>
        <charset val="1"/>
      </rPr>
      <t xml:space="preserve">948 </t>
    </r>
    <r>
      <rPr>
        <sz val="10"/>
        <color rgb="FF000000"/>
        <rFont val="WenQuanYi Zen Hei"/>
        <family val="2"/>
      </rPr>
      <t xml:space="preserve">亿，营业利润 </t>
    </r>
    <r>
      <rPr>
        <sz val="10"/>
        <color rgb="FF000000"/>
        <rFont val="Arial"/>
        <family val="0"/>
        <charset val="1"/>
      </rPr>
      <t xml:space="preserve">43.6 </t>
    </r>
    <r>
      <rPr>
        <sz val="10"/>
        <color rgb="FF000000"/>
        <rFont val="WenQuanYi Zen Hei"/>
        <family val="2"/>
      </rPr>
      <t xml:space="preserve">亿，经营现金流 </t>
    </r>
    <r>
      <rPr>
        <sz val="10"/>
        <color rgb="FF000000"/>
        <rFont val="Arial"/>
        <family val="0"/>
        <charset val="1"/>
      </rPr>
      <t xml:space="preserve">147.5 </t>
    </r>
    <r>
      <rPr>
        <sz val="10"/>
        <color rgb="FF000000"/>
        <rFont val="WenQuanYi Zen Hei"/>
        <family val="2"/>
      </rPr>
      <t xml:space="preserve">亿，资本开支 </t>
    </r>
    <r>
      <rPr>
        <sz val="10"/>
        <color rgb="FF000000"/>
        <rFont val="Arial"/>
        <family val="0"/>
        <charset val="1"/>
      </rPr>
      <t xml:space="preserve">85.3 </t>
    </r>
    <r>
      <rPr>
        <sz val="10"/>
        <color rgb="FF000000"/>
        <rFont val="WenQuanYi Zen Hei"/>
        <family val="2"/>
      </rPr>
      <t xml:space="preserve">亿，</t>
    </r>
    <r>
      <rPr>
        <sz val="10"/>
        <color rgb="FF000000"/>
        <rFont val="Arial"/>
        <family val="0"/>
        <charset val="1"/>
      </rPr>
      <t xml:space="preserve">FCF 62.2 </t>
    </r>
    <r>
      <rPr>
        <sz val="10"/>
        <color rgb="FF000000"/>
        <rFont val="WenQuanYi Zen Hei"/>
        <family val="2"/>
      </rPr>
      <t xml:space="preserve">亿 — </t>
    </r>
    <r>
      <rPr>
        <sz val="10"/>
        <color rgb="FF000000"/>
        <rFont val="Arial"/>
        <family val="0"/>
        <charset val="1"/>
      </rPr>
      <t xml:space="preserve">https://www.just-auto.com/?p=189439 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https://last10k.com/sec-filings/tsla/0001628280-26-003837.htm</t>
    </r>
  </si>
  <si>
    <r>
      <rPr>
        <sz val="10"/>
        <color rgb="FF000000"/>
        <rFont val="WenQuanYi Zen Hei"/>
        <family val="2"/>
      </rPr>
      <t xml:space="preserve">债务（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WenQuanYi Zen Hei"/>
        <family val="2"/>
      </rPr>
      <t xml:space="preserve">附注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https://www.sec.gov/Archives/edgar/data/0001318605/000162828026049270/tsla-20260630.htm</t>
    </r>
  </si>
  <si>
    <r>
      <rPr>
        <sz val="10"/>
        <color rgb="FF000000"/>
        <rFont val="WenQuanYi Zen Hei"/>
        <family val="2"/>
      </rPr>
      <t xml:space="preserve">股本 </t>
    </r>
    <r>
      <rPr>
        <sz val="10"/>
        <color rgb="FF000000"/>
        <rFont val="Arial"/>
        <family val="0"/>
        <charset val="1"/>
      </rPr>
      <t xml:space="preserve">3,755,723,871 </t>
    </r>
    <r>
      <rPr>
        <sz val="10"/>
        <color rgb="FF000000"/>
        <rFont val="WenQuanYi Zen Hei"/>
        <family val="2"/>
      </rPr>
      <t xml:space="preserve">股（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https://www.sec.gov/Archives/edgar/data/0001318605/000162828026026673/tsla-20260331.htm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</si>
  <si>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收入一致预期 </t>
    </r>
    <r>
      <rPr>
        <sz val="10"/>
        <color rgb="FF000000"/>
        <rFont val="Arial"/>
        <family val="0"/>
        <charset val="1"/>
      </rPr>
      <t xml:space="preserve">1,069 </t>
    </r>
    <r>
      <rPr>
        <sz val="10"/>
        <color rgb="FF000000"/>
        <rFont val="WenQuanYi Zen Hei"/>
        <family val="2"/>
      </rPr>
      <t xml:space="preserve">亿（</t>
    </r>
    <r>
      <rPr>
        <sz val="10"/>
        <color rgb="FF000000"/>
        <rFont val="Arial"/>
        <family val="0"/>
        <charset val="1"/>
      </rPr>
      <t xml:space="preserve">Visible Alpha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https://www.spglobal.com/market-intelligence/en/news-insights/research/2026/07/tesla-postq-revenue-beat-overshadowed-by-margin-pressure</t>
    </r>
  </si>
  <si>
    <r>
      <rPr>
        <sz val="10"/>
        <color rgb="FF000000"/>
        <rFont val="WenQuanYi Zen Hei"/>
        <family val="2"/>
      </rPr>
      <t xml:space="preserve">股价 </t>
    </r>
    <r>
      <rPr>
        <sz val="10"/>
        <color rgb="FF000000"/>
        <rFont val="Arial"/>
        <family val="0"/>
        <charset val="1"/>
      </rPr>
      <t xml:space="preserve">$382.70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2026-10-09 </t>
    </r>
    <r>
      <rPr>
        <sz val="10"/>
        <color rgb="FF000000"/>
        <rFont val="WenQuanYi Zen Hei"/>
        <family val="2"/>
      </rPr>
      <t xml:space="preserve">收盘）— </t>
    </r>
    <r>
      <rPr>
        <sz val="10"/>
        <color rgb="FF000000"/>
        <rFont val="Arial"/>
        <family val="0"/>
        <charset val="1"/>
      </rPr>
      <t xml:space="preserve">https://www.cnbc.com/quotes/TSLA</t>
    </r>
  </si>
  <si>
    <t xml:space="preserve">主要局限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</si>
  <si>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模型按“汽车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储能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服务”整体现金流建模，未单独为 </t>
    </r>
    <r>
      <rPr>
        <sz val="10"/>
        <color rgb="FF000000"/>
        <rFont val="Arial"/>
        <family val="0"/>
        <charset val="1"/>
      </rPr>
      <t xml:space="preserve">Robotaxi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Optimus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业务建立分部估值；乐观情景只是粗略反映这些期权价值。</t>
    </r>
  </si>
  <si>
    <r>
      <rPr>
        <sz val="10"/>
        <color rgb="FF000000"/>
        <rFont val="Arial"/>
        <family val="0"/>
        <charset val="1"/>
      </rPr>
      <t xml:space="preserve">2. 2024 </t>
    </r>
    <r>
      <rPr>
        <sz val="10"/>
        <color rgb="FF000000"/>
        <rFont val="WenQuanYi Zen Hei"/>
        <family val="2"/>
      </rPr>
      <t xml:space="preserve">年折旧摊销为估算；稀释股数含 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WenQuanYi Zen Hei"/>
        <family val="2"/>
      </rPr>
      <t xml:space="preserve">限制性股票的估计。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</si>
  <si>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股权激励视为真实费用（</t>
    </r>
    <r>
      <rPr>
        <sz val="10"/>
        <color rgb="FF000000"/>
        <rFont val="Arial"/>
        <family val="0"/>
        <charset val="1"/>
      </rPr>
      <t xml:space="preserve">EBIT </t>
    </r>
    <r>
      <rPr>
        <sz val="10"/>
        <color rgb="FF000000"/>
        <rFont val="WenQuanYi Zen Hei"/>
        <family val="2"/>
      </rPr>
      <t xml:space="preserve">已扣除），未在现金流中加回。</t>
    </r>
  </si>
  <si>
    <r>
      <rPr>
        <sz val="10"/>
        <color rgb="FF000000"/>
        <rFont val="Arial"/>
        <family val="0"/>
        <charset val="1"/>
      </rPr>
      <t xml:space="preserve">4. Beta 1.5 </t>
    </r>
    <r>
      <rPr>
        <sz val="10"/>
        <color rgb="FF000000"/>
        <rFont val="WenQuanYi Zen Hei"/>
        <family val="2"/>
      </rPr>
      <t xml:space="preserve">低于历史回归值（约 </t>
    </r>
    <r>
      <rPr>
        <sz val="10"/>
        <color rgb="FF000000"/>
        <rFont val="Arial"/>
        <family val="0"/>
        <charset val="1"/>
      </rPr>
      <t xml:space="preserve">2.0+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Beta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WenQuanYi Zen Hei"/>
        <family val="2"/>
      </rPr>
      <t xml:space="preserve">时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WenQuanYi Zen Hei"/>
        <family val="2"/>
      </rPr>
      <t xml:space="preserve">约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WenQuanYi Zen Hei"/>
        <family val="2"/>
      </rPr>
      <t xml:space="preserve">，估值显著更低。</t>
    </r>
  </si>
  <si>
    <r>
      <rPr>
        <sz val="10"/>
        <color rgb="FF000000"/>
        <rFont val="Arial"/>
        <family val="0"/>
        <charset val="1"/>
      </rPr>
      <t xml:space="preserve">5. Q3 2026 </t>
    </r>
    <r>
      <rPr>
        <sz val="10"/>
        <color rgb="FF000000"/>
        <rFont val="WenQuanYi Zen Hei"/>
        <family val="2"/>
      </rPr>
      <t xml:space="preserve">财报预计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月下旬发布，届时应更新。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</si>
</sst>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\$#,##0.00"/>
    <numFmt numFmtId="167" formatCode="0.000"/>
    <numFmt numFmtId="168" formatCode="0"/>
    <numFmt numFmtId="169" formatCode="0.0%;\(0.0%\);\-"/>
    <numFmt numFmtId="170" formatCode="0.00"/>
    <numFmt numFmtId="171" formatCode="#,##0.0;\(#,##0.0\);\-"/>
    <numFmt numFmtId="172" formatCode="0.0\x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WenQuanYi Zen Hei"/>
      <family val="2"/>
    </font>
    <font>
      <i val="true"/>
      <sz val="10"/>
      <color rgb="FF666666"/>
      <name val="WenQuanYi Zen Hei"/>
      <family val="2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WenQuanYi Zen Hei"/>
      <family val="2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666666"/>
      <name val="Arial"/>
      <family val="0"/>
      <charset val="1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008000"/>
      <name val="WenQuanYi Zen Hei"/>
      <family val="2"/>
    </font>
    <font>
      <sz val="10"/>
      <color rgb="FF008000"/>
      <name val="Arial"/>
      <family val="0"/>
      <charset val="1"/>
    </font>
    <font>
      <b val="true"/>
      <sz val="11"/>
      <color rgb="FF000000"/>
      <name val="WenQuanYi Zen Hei"/>
      <family val="2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name val="Arial"/>
      <family val="2"/>
    </font>
    <font>
      <sz val="10"/>
      <name val="WenQuanYi Zen Hei"/>
      <family val="2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14" min="4" style="0" width="13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</row>
    <row r="4" customFormat="false" ht="15" hidden="false" customHeight="false" outlineLevel="0" collapsed="false">
      <c r="A4" s="5" t="s">
        <v>3</v>
      </c>
      <c r="B4" s="6" t="n">
        <f aca="false">DATE(2026,10,10)</f>
        <v>46305</v>
      </c>
      <c r="C4" s="7"/>
      <c r="D4" s="7"/>
    </row>
    <row r="5" customFormat="false" ht="15" hidden="false" customHeight="false" outlineLevel="0" collapsed="false">
      <c r="A5" s="5" t="s">
        <v>4</v>
      </c>
      <c r="B5" s="8" t="n">
        <v>382.7</v>
      </c>
      <c r="C5" s="7"/>
      <c r="D5" s="7"/>
    </row>
    <row r="6" customFormat="false" ht="15" hidden="false" customHeight="false" outlineLevel="0" collapsed="false">
      <c r="A6" s="5" t="s">
        <v>5</v>
      </c>
      <c r="B6" s="9" t="n">
        <v>3.95</v>
      </c>
      <c r="C6" s="7"/>
      <c r="D6" s="7"/>
    </row>
    <row r="7" customFormat="false" ht="15" hidden="false" customHeight="false" outlineLevel="0" collapsed="false">
      <c r="A7" s="5" t="s">
        <v>6</v>
      </c>
      <c r="B7" s="10" t="n">
        <v>2</v>
      </c>
      <c r="C7" s="7"/>
      <c r="D7" s="7"/>
    </row>
    <row r="8" customFormat="false" ht="15" hidden="false" customHeight="false" outlineLevel="0" collapsed="false">
      <c r="A8" s="11" t="s">
        <v>7</v>
      </c>
      <c r="B8" s="4"/>
      <c r="C8" s="4"/>
    </row>
    <row r="9" customFormat="false" ht="15" hidden="false" customHeight="false" outlineLevel="0" collapsed="false">
      <c r="A9" s="5" t="s">
        <v>8</v>
      </c>
      <c r="B9" s="12" t="n">
        <v>0.042</v>
      </c>
      <c r="C9" s="7"/>
      <c r="D9" s="7"/>
    </row>
    <row r="10" customFormat="false" ht="15" hidden="false" customHeight="false" outlineLevel="0" collapsed="false">
      <c r="A10" s="5" t="s">
        <v>9</v>
      </c>
      <c r="B10" s="12" t="n">
        <v>0.05</v>
      </c>
      <c r="C10" s="7"/>
      <c r="D10" s="7"/>
    </row>
    <row r="11" customFormat="false" ht="15" hidden="false" customHeight="false" outlineLevel="0" collapsed="false">
      <c r="A11" s="13" t="s">
        <v>10</v>
      </c>
      <c r="B11" s="14" t="n">
        <v>1.5</v>
      </c>
      <c r="C11" s="7"/>
      <c r="D11" s="7"/>
    </row>
    <row r="12" customFormat="false" ht="15" hidden="false" customHeight="false" outlineLevel="0" collapsed="false">
      <c r="A12" s="5" t="s">
        <v>11</v>
      </c>
      <c r="B12" s="12" t="n">
        <v>0.055</v>
      </c>
      <c r="C12" s="7"/>
      <c r="D12" s="7"/>
    </row>
    <row r="13" customFormat="false" ht="15" hidden="false" customHeight="false" outlineLevel="0" collapsed="false">
      <c r="A13" s="5" t="s">
        <v>12</v>
      </c>
      <c r="B13" s="12" t="n">
        <v>0.01</v>
      </c>
      <c r="C13" s="7"/>
      <c r="D13" s="7"/>
    </row>
    <row r="14" customFormat="false" ht="15" hidden="false" customHeight="false" outlineLevel="0" collapsed="false">
      <c r="A14" s="3" t="s">
        <v>13</v>
      </c>
      <c r="B14" s="4"/>
      <c r="C14" s="4"/>
    </row>
    <row r="15" customFormat="false" ht="15" hidden="false" customHeight="false" outlineLevel="0" collapsed="false">
      <c r="A15" s="5" t="s">
        <v>14</v>
      </c>
      <c r="B15" s="12" t="n">
        <v>0.18</v>
      </c>
      <c r="C15" s="7"/>
      <c r="D15" s="7"/>
    </row>
    <row r="16" customFormat="false" ht="15" hidden="false" customHeight="false" outlineLevel="0" collapsed="false">
      <c r="A16" s="5" t="s">
        <v>15</v>
      </c>
      <c r="B16" s="12" t="n">
        <v>0.03</v>
      </c>
      <c r="C16" s="7"/>
      <c r="D16" s="7"/>
    </row>
    <row r="17" customFormat="false" ht="15" hidden="false" customHeight="false" outlineLevel="0" collapsed="false">
      <c r="A17" s="5" t="s">
        <v>16</v>
      </c>
      <c r="B17" s="12" t="n">
        <v>0.055</v>
      </c>
      <c r="C17" s="7"/>
      <c r="D17" s="7"/>
    </row>
    <row r="18" customFormat="false" ht="15" hidden="false" customHeight="false" outlineLevel="0" collapsed="false">
      <c r="A18" s="5" t="s">
        <v>17</v>
      </c>
      <c r="B18" s="14" t="n">
        <v>1.15</v>
      </c>
      <c r="C18" s="7"/>
      <c r="D18" s="7"/>
    </row>
    <row r="19" customFormat="false" ht="15" hidden="false" customHeight="false" outlineLevel="0" collapsed="false">
      <c r="A19" s="5" t="s">
        <v>18</v>
      </c>
      <c r="B19" s="12" t="n">
        <v>0</v>
      </c>
      <c r="C19" s="7"/>
      <c r="D19" s="7"/>
    </row>
    <row r="20" customFormat="false" ht="15" hidden="false" customHeight="false" outlineLevel="0" collapsed="false">
      <c r="A20" s="3" t="s">
        <v>19</v>
      </c>
      <c r="B20" s="4"/>
      <c r="C20" s="4"/>
    </row>
    <row r="21" customFormat="false" ht="15" hidden="false" customHeight="false" outlineLevel="0" collapsed="false">
      <c r="A21" s="5" t="s">
        <v>20</v>
      </c>
      <c r="B21" s="15" t="n">
        <v>43.52</v>
      </c>
      <c r="C21" s="7"/>
      <c r="D21" s="7"/>
    </row>
    <row r="22" customFormat="false" ht="15" hidden="false" customHeight="false" outlineLevel="0" collapsed="false">
      <c r="A22" s="5" t="s">
        <v>21</v>
      </c>
      <c r="B22" s="15" t="n">
        <v>9.34</v>
      </c>
      <c r="C22" s="7"/>
      <c r="D22" s="7"/>
    </row>
    <row r="24" customFormat="false" ht="15" hidden="false" customHeight="false" outlineLevel="0" collapsed="false">
      <c r="A24" s="3" t="s">
        <v>22</v>
      </c>
      <c r="B24" s="4"/>
      <c r="C24" s="4"/>
    </row>
    <row r="25" customFormat="false" ht="15" hidden="false" customHeight="false" outlineLevel="0" collapsed="false">
      <c r="A25" s="5" t="s">
        <v>23</v>
      </c>
      <c r="B25" s="16" t="n">
        <f aca="false">$B$9+$B$11*$B$10</f>
        <v>0.117</v>
      </c>
    </row>
    <row r="26" customFormat="false" ht="15" hidden="false" customHeight="false" outlineLevel="0" collapsed="false">
      <c r="A26" s="5" t="s">
        <v>24</v>
      </c>
      <c r="B26" s="16" t="n">
        <f aca="false">$B$12*(1-$B$15)</f>
        <v>0.0451</v>
      </c>
    </row>
    <row r="27" customFormat="false" ht="15" hidden="false" customHeight="false" outlineLevel="0" collapsed="false">
      <c r="A27" s="17" t="s">
        <v>7</v>
      </c>
      <c r="B27" s="18" t="n">
        <f aca="false">(1-$B$13)*$B$25+$B$13*$B$26</f>
        <v>0.116281</v>
      </c>
    </row>
    <row r="28" customFormat="false" ht="15" hidden="false" customHeight="false" outlineLevel="0" collapsed="false">
      <c r="A28" s="13" t="s">
        <v>25</v>
      </c>
      <c r="B28" s="19" t="n">
        <f aca="false">(DATE(2026,12,31)-$B$4)/365</f>
        <v>0.224657534246575</v>
      </c>
    </row>
    <row r="29" customFormat="false" ht="15" hidden="false" customHeight="false" outlineLevel="0" collapsed="false">
      <c r="A29" s="5" t="s">
        <v>26</v>
      </c>
      <c r="B29" s="20" t="n">
        <f aca="false">$B$21-$B$22</f>
        <v>34.18</v>
      </c>
    </row>
    <row r="30" customFormat="false" ht="15" hidden="false" customHeight="false" outlineLevel="0" collapsed="false">
      <c r="A30" s="5" t="s">
        <v>27</v>
      </c>
      <c r="B30" s="20" t="n">
        <f aca="false">$B$5*$B$6</f>
        <v>1511.665</v>
      </c>
    </row>
    <row r="32" customFormat="false" ht="15" hidden="false" customHeight="false" outlineLevel="0" collapsed="false">
      <c r="A32" s="3" t="s">
        <v>28</v>
      </c>
      <c r="B32" s="4"/>
      <c r="C32" s="21" t="s">
        <v>29</v>
      </c>
      <c r="D32" s="21" t="s">
        <v>30</v>
      </c>
      <c r="E32" s="21" t="s">
        <v>31</v>
      </c>
      <c r="F32" s="21" t="s">
        <v>32</v>
      </c>
      <c r="G32" s="21" t="s">
        <v>33</v>
      </c>
      <c r="H32" s="21" t="s">
        <v>34</v>
      </c>
      <c r="I32" s="21" t="s">
        <v>35</v>
      </c>
      <c r="J32" s="21" t="s">
        <v>36</v>
      </c>
      <c r="K32" s="21" t="s">
        <v>37</v>
      </c>
      <c r="L32" s="21" t="s">
        <v>38</v>
      </c>
      <c r="M32" s="4"/>
    </row>
    <row r="33" customFormat="false" ht="15" hidden="false" customHeight="false" outlineLevel="0" collapsed="false">
      <c r="A33" s="22" t="s">
        <v>39</v>
      </c>
    </row>
    <row r="34" customFormat="false" ht="15" hidden="false" customHeight="false" outlineLevel="0" collapsed="false">
      <c r="A34" s="5" t="s">
        <v>40</v>
      </c>
      <c r="B34" s="23" t="n">
        <v>1</v>
      </c>
      <c r="C34" s="24" t="n">
        <v>0.1</v>
      </c>
      <c r="D34" s="24" t="n">
        <v>0.06</v>
      </c>
      <c r="E34" s="24" t="n">
        <v>0.07</v>
      </c>
      <c r="F34" s="24" t="n">
        <v>0.07</v>
      </c>
      <c r="G34" s="24" t="n">
        <v>0.06</v>
      </c>
      <c r="H34" s="24" t="n">
        <v>0.05</v>
      </c>
      <c r="I34" s="24" t="n">
        <v>0.05</v>
      </c>
      <c r="J34" s="24" t="n">
        <v>0.04</v>
      </c>
      <c r="K34" s="24" t="n">
        <v>0.04</v>
      </c>
      <c r="L34" s="24" t="n">
        <v>0.03</v>
      </c>
    </row>
    <row r="35" customFormat="false" ht="15" hidden="false" customHeight="false" outlineLevel="0" collapsed="false">
      <c r="A35" s="5" t="s">
        <v>41</v>
      </c>
      <c r="B35" s="23" t="n">
        <v>2</v>
      </c>
      <c r="C35" s="24" t="n">
        <v>0.128</v>
      </c>
      <c r="D35" s="24" t="n">
        <v>0.18</v>
      </c>
      <c r="E35" s="24" t="n">
        <v>0.2</v>
      </c>
      <c r="F35" s="24" t="n">
        <v>0.18</v>
      </c>
      <c r="G35" s="24" t="n">
        <v>0.16</v>
      </c>
      <c r="H35" s="24" t="n">
        <v>0.14</v>
      </c>
      <c r="I35" s="24" t="n">
        <v>0.12</v>
      </c>
      <c r="J35" s="24" t="n">
        <v>0.1</v>
      </c>
      <c r="K35" s="24" t="n">
        <v>0.08</v>
      </c>
      <c r="L35" s="24" t="n">
        <v>0.06</v>
      </c>
    </row>
    <row r="36" customFormat="false" ht="15" hidden="false" customHeight="false" outlineLevel="0" collapsed="false">
      <c r="A36" s="5" t="s">
        <v>42</v>
      </c>
      <c r="B36" s="23" t="n">
        <v>3</v>
      </c>
      <c r="C36" s="24" t="n">
        <v>0.13</v>
      </c>
      <c r="D36" s="24" t="n">
        <v>0.28</v>
      </c>
      <c r="E36" s="24" t="n">
        <v>0.32</v>
      </c>
      <c r="F36" s="24" t="n">
        <v>0.3</v>
      </c>
      <c r="G36" s="24" t="n">
        <v>0.26</v>
      </c>
      <c r="H36" s="24" t="n">
        <v>0.22</v>
      </c>
      <c r="I36" s="24" t="n">
        <v>0.18</v>
      </c>
      <c r="J36" s="24" t="n">
        <v>0.14</v>
      </c>
      <c r="K36" s="24" t="n">
        <v>0.1</v>
      </c>
      <c r="L36" s="24" t="n">
        <v>0.08</v>
      </c>
    </row>
    <row r="37" customFormat="false" ht="15" hidden="false" customHeight="false" outlineLevel="0" collapsed="false">
      <c r="A37" s="17" t="s">
        <v>43</v>
      </c>
    </row>
    <row r="38" customFormat="false" ht="15" hidden="false" customHeight="false" outlineLevel="0" collapsed="false">
      <c r="A38" s="5" t="s">
        <v>40</v>
      </c>
      <c r="B38" s="23" t="n">
        <v>1</v>
      </c>
      <c r="C38" s="24" t="n">
        <v>0.03</v>
      </c>
      <c r="D38" s="24" t="n">
        <v>0.04</v>
      </c>
      <c r="E38" s="24" t="n">
        <v>0.05</v>
      </c>
      <c r="F38" s="24" t="n">
        <v>0.06</v>
      </c>
      <c r="G38" s="24" t="n">
        <v>0.07</v>
      </c>
      <c r="H38" s="24" t="n">
        <v>0.075</v>
      </c>
      <c r="I38" s="24" t="n">
        <v>0.08</v>
      </c>
      <c r="J38" s="24" t="n">
        <v>0.085</v>
      </c>
      <c r="K38" s="24" t="n">
        <v>0.09</v>
      </c>
      <c r="L38" s="24" t="n">
        <v>0.09</v>
      </c>
    </row>
    <row r="39" customFormat="false" ht="15" hidden="false" customHeight="false" outlineLevel="0" collapsed="false">
      <c r="A39" s="5" t="s">
        <v>41</v>
      </c>
      <c r="B39" s="23" t="n">
        <v>2</v>
      </c>
      <c r="C39" s="24" t="n">
        <v>0.035</v>
      </c>
      <c r="D39" s="24" t="n">
        <v>0.055</v>
      </c>
      <c r="E39" s="24" t="n">
        <v>0.075</v>
      </c>
      <c r="F39" s="24" t="n">
        <v>0.095</v>
      </c>
      <c r="G39" s="24" t="n">
        <v>0.115</v>
      </c>
      <c r="H39" s="24" t="n">
        <v>0.13</v>
      </c>
      <c r="I39" s="24" t="n">
        <v>0.145</v>
      </c>
      <c r="J39" s="24" t="n">
        <v>0.155</v>
      </c>
      <c r="K39" s="24" t="n">
        <v>0.16</v>
      </c>
      <c r="L39" s="24" t="n">
        <v>0.16</v>
      </c>
    </row>
    <row r="40" customFormat="false" ht="15" hidden="false" customHeight="false" outlineLevel="0" collapsed="false">
      <c r="A40" s="5" t="s">
        <v>42</v>
      </c>
      <c r="B40" s="23" t="n">
        <v>3</v>
      </c>
      <c r="C40" s="24" t="n">
        <v>0.035</v>
      </c>
      <c r="D40" s="24" t="n">
        <v>0.07</v>
      </c>
      <c r="E40" s="24" t="n">
        <v>0.11</v>
      </c>
      <c r="F40" s="24" t="n">
        <v>0.15</v>
      </c>
      <c r="G40" s="24" t="n">
        <v>0.18</v>
      </c>
      <c r="H40" s="24" t="n">
        <v>0.2</v>
      </c>
      <c r="I40" s="24" t="n">
        <v>0.21</v>
      </c>
      <c r="J40" s="24" t="n">
        <v>0.22</v>
      </c>
      <c r="K40" s="24" t="n">
        <v>0.22</v>
      </c>
      <c r="L40" s="24" t="n">
        <v>0.22</v>
      </c>
    </row>
    <row r="41" customFormat="false" ht="15" hidden="false" customHeight="false" outlineLevel="0" collapsed="false">
      <c r="A41" s="22" t="s">
        <v>44</v>
      </c>
    </row>
    <row r="42" customFormat="false" ht="15" hidden="false" customHeight="false" outlineLevel="0" collapsed="false">
      <c r="A42" s="5" t="s">
        <v>40</v>
      </c>
      <c r="B42" s="23" t="n">
        <v>1</v>
      </c>
      <c r="C42" s="24" t="n">
        <v>0.233</v>
      </c>
      <c r="D42" s="24" t="n">
        <v>0.15</v>
      </c>
      <c r="E42" s="24" t="n">
        <v>0.11</v>
      </c>
      <c r="F42" s="24" t="n">
        <v>0.09</v>
      </c>
      <c r="G42" s="24" t="n">
        <v>0.08</v>
      </c>
      <c r="H42" s="24" t="n">
        <v>0.075</v>
      </c>
      <c r="I42" s="24" t="n">
        <v>0.07</v>
      </c>
      <c r="J42" s="24" t="n">
        <v>0.065</v>
      </c>
      <c r="K42" s="24" t="n">
        <v>0.065</v>
      </c>
      <c r="L42" s="25" t="n">
        <f aca="false">$B$17*$B$18</f>
        <v>0.06325</v>
      </c>
    </row>
    <row r="43" customFormat="false" ht="15" hidden="false" customHeight="false" outlineLevel="0" collapsed="false">
      <c r="A43" s="5" t="s">
        <v>41</v>
      </c>
      <c r="B43" s="23" t="n">
        <v>2</v>
      </c>
      <c r="C43" s="24" t="n">
        <v>0.233</v>
      </c>
      <c r="D43" s="24" t="n">
        <v>0.17</v>
      </c>
      <c r="E43" s="24" t="n">
        <v>0.13</v>
      </c>
      <c r="F43" s="24" t="n">
        <v>0.1</v>
      </c>
      <c r="G43" s="24" t="n">
        <v>0.085</v>
      </c>
      <c r="H43" s="24" t="n">
        <v>0.075</v>
      </c>
      <c r="I43" s="24" t="n">
        <v>0.07</v>
      </c>
      <c r="J43" s="24" t="n">
        <v>0.065</v>
      </c>
      <c r="K43" s="24" t="n">
        <v>0.065</v>
      </c>
      <c r="L43" s="25" t="n">
        <f aca="false">$B$17*$B$18</f>
        <v>0.06325</v>
      </c>
    </row>
    <row r="44" customFormat="false" ht="15" hidden="false" customHeight="false" outlineLevel="0" collapsed="false">
      <c r="A44" s="5" t="s">
        <v>42</v>
      </c>
      <c r="B44" s="23" t="n">
        <v>3</v>
      </c>
      <c r="C44" s="24" t="n">
        <v>0.233</v>
      </c>
      <c r="D44" s="24" t="n">
        <v>0.18</v>
      </c>
      <c r="E44" s="24" t="n">
        <v>0.14</v>
      </c>
      <c r="F44" s="24" t="n">
        <v>0.11</v>
      </c>
      <c r="G44" s="24" t="n">
        <v>0.09</v>
      </c>
      <c r="H44" s="24" t="n">
        <v>0.08</v>
      </c>
      <c r="I44" s="24" t="n">
        <v>0.075</v>
      </c>
      <c r="J44" s="24" t="n">
        <v>0.07</v>
      </c>
      <c r="K44" s="24" t="n">
        <v>0.07</v>
      </c>
      <c r="L44" s="25" t="n">
        <f aca="false">$B$17*$B$18</f>
        <v>0.06325</v>
      </c>
    </row>
    <row r="45" customFormat="false" ht="15" hidden="false" customHeight="false" outlineLevel="0" collapsed="false">
      <c r="A45" s="26" t="s">
        <v>45</v>
      </c>
    </row>
  </sheetData>
  <dataValidations count="1">
    <dataValidation allowBlank="false" errorStyle="stop" operator="between" showDropDown="false" showErrorMessage="false" showInputMessage="false" sqref="B7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0"/>
  </cols>
  <sheetData>
    <row r="1" customFormat="false" ht="19.4" hidden="false" customHeight="false" outlineLevel="0" collapsed="false">
      <c r="A1" s="1" t="s">
        <v>46</v>
      </c>
    </row>
    <row r="2" customFormat="false" ht="15" hidden="false" customHeight="false" outlineLevel="0" collapsed="false">
      <c r="A2" s="27" t="str">
        <f aca="false">"当前情景："&amp;CHOOSE(假设!$B$7,"悲观","基准","乐观")</f>
        <v>当前情景：基准</v>
      </c>
    </row>
    <row r="4" customFormat="false" ht="15" hidden="false" customHeight="false" outlineLevel="0" collapsed="false">
      <c r="A4" s="28" t="s">
        <v>47</v>
      </c>
      <c r="B4" s="21" t="s">
        <v>48</v>
      </c>
      <c r="C4" s="21" t="s">
        <v>49</v>
      </c>
      <c r="D4" s="21" t="s">
        <v>29</v>
      </c>
      <c r="E4" s="21" t="s">
        <v>30</v>
      </c>
      <c r="F4" s="21" t="s">
        <v>31</v>
      </c>
      <c r="G4" s="21" t="s">
        <v>32</v>
      </c>
      <c r="H4" s="21" t="s">
        <v>33</v>
      </c>
      <c r="I4" s="21" t="s">
        <v>34</v>
      </c>
      <c r="J4" s="21" t="s">
        <v>35</v>
      </c>
      <c r="K4" s="21" t="s">
        <v>36</v>
      </c>
      <c r="L4" s="21" t="s">
        <v>37</v>
      </c>
      <c r="M4" s="21" t="s">
        <v>38</v>
      </c>
    </row>
    <row r="5" customFormat="false" ht="15" hidden="false" customHeight="false" outlineLevel="0" collapsed="false">
      <c r="A5" s="5" t="s">
        <v>39</v>
      </c>
      <c r="C5" s="16" t="n">
        <f aca="false">C6/B6-1</f>
        <v>-0.0292762821169004</v>
      </c>
      <c r="D5" s="29" t="n">
        <f aca="false">CHOOSE(假设!$B$7,假设!C34,假设!C35,假设!C36)</f>
        <v>0.128</v>
      </c>
      <c r="E5" s="29" t="n">
        <f aca="false">CHOOSE(假设!$B$7,假设!D34,假设!D35,假设!D36)</f>
        <v>0.18</v>
      </c>
      <c r="F5" s="29" t="n">
        <f aca="false">CHOOSE(假设!$B$7,假设!E34,假设!E35,假设!E36)</f>
        <v>0.2</v>
      </c>
      <c r="G5" s="29" t="n">
        <f aca="false">CHOOSE(假设!$B$7,假设!F34,假设!F35,假设!F36)</f>
        <v>0.18</v>
      </c>
      <c r="H5" s="29" t="n">
        <f aca="false">CHOOSE(假设!$B$7,假设!G34,假设!G35,假设!G36)</f>
        <v>0.16</v>
      </c>
      <c r="I5" s="29" t="n">
        <f aca="false">CHOOSE(假设!$B$7,假设!H34,假设!H35,假设!H36)</f>
        <v>0.14</v>
      </c>
      <c r="J5" s="29" t="n">
        <f aca="false">CHOOSE(假设!$B$7,假设!I34,假设!I35,假设!I36)</f>
        <v>0.12</v>
      </c>
      <c r="K5" s="29" t="n">
        <f aca="false">CHOOSE(假设!$B$7,假设!J34,假设!J35,假设!J36)</f>
        <v>0.1</v>
      </c>
      <c r="L5" s="29" t="n">
        <f aca="false">CHOOSE(假设!$B$7,假设!K34,假设!K35,假设!K36)</f>
        <v>0.08</v>
      </c>
      <c r="M5" s="29" t="n">
        <f aca="false">CHOOSE(假设!$B$7,假设!L34,假设!L35,假设!L36)</f>
        <v>0.06</v>
      </c>
    </row>
    <row r="6" customFormat="false" ht="15" hidden="false" customHeight="false" outlineLevel="0" collapsed="false">
      <c r="A6" s="30" t="s">
        <v>50</v>
      </c>
      <c r="B6" s="31" t="n">
        <v>97.69</v>
      </c>
      <c r="C6" s="31" t="n">
        <v>94.83</v>
      </c>
      <c r="D6" s="32" t="n">
        <f aca="false">C6*(1+D5)</f>
        <v>106.96824</v>
      </c>
      <c r="E6" s="32" t="n">
        <f aca="false">D6*(1+E5)</f>
        <v>126.2225232</v>
      </c>
      <c r="F6" s="32" t="n">
        <f aca="false">E6*(1+F5)</f>
        <v>151.46702784</v>
      </c>
      <c r="G6" s="32" t="n">
        <f aca="false">F6*(1+G5)</f>
        <v>178.7310928512</v>
      </c>
      <c r="H6" s="32" t="n">
        <f aca="false">G6*(1+H5)</f>
        <v>207.328067707392</v>
      </c>
      <c r="I6" s="32" t="n">
        <f aca="false">H6*(1+I5)</f>
        <v>236.353997186427</v>
      </c>
      <c r="J6" s="32" t="n">
        <f aca="false">I6*(1+J5)</f>
        <v>264.716476848798</v>
      </c>
      <c r="K6" s="32" t="n">
        <f aca="false">J6*(1+K5)</f>
        <v>291.188124533678</v>
      </c>
      <c r="L6" s="32" t="n">
        <f aca="false">K6*(1+L5)</f>
        <v>314.483174496372</v>
      </c>
      <c r="M6" s="32" t="n">
        <f aca="false">L6*(1+M5)</f>
        <v>333.352164966155</v>
      </c>
    </row>
    <row r="7" customFormat="false" ht="15" hidden="false" customHeight="false" outlineLevel="0" collapsed="false">
      <c r="A7" s="13" t="s">
        <v>51</v>
      </c>
      <c r="B7" s="16" t="n">
        <f aca="false">B8/B6</f>
        <v>0.0724741529327465</v>
      </c>
      <c r="C7" s="16" t="n">
        <f aca="false">C8/C6</f>
        <v>0.0459770114942529</v>
      </c>
      <c r="D7" s="29" t="n">
        <f aca="false">CHOOSE(假设!$B$7,假设!C38,假设!C39,假设!C40)</f>
        <v>0.035</v>
      </c>
      <c r="E7" s="29" t="n">
        <f aca="false">CHOOSE(假设!$B$7,假设!D38,假设!D39,假设!D40)</f>
        <v>0.055</v>
      </c>
      <c r="F7" s="29" t="n">
        <f aca="false">CHOOSE(假设!$B$7,假设!E38,假设!E39,假设!E40)</f>
        <v>0.075</v>
      </c>
      <c r="G7" s="29" t="n">
        <f aca="false">CHOOSE(假设!$B$7,假设!F38,假设!F39,假设!F40)</f>
        <v>0.095</v>
      </c>
      <c r="H7" s="29" t="n">
        <f aca="false">CHOOSE(假设!$B$7,假设!G38,假设!G39,假设!G40)</f>
        <v>0.115</v>
      </c>
      <c r="I7" s="29" t="n">
        <f aca="false">CHOOSE(假设!$B$7,假设!H38,假设!H39,假设!H40)</f>
        <v>0.13</v>
      </c>
      <c r="J7" s="29" t="n">
        <f aca="false">CHOOSE(假设!$B$7,假设!I38,假设!I39,假设!I40)</f>
        <v>0.145</v>
      </c>
      <c r="K7" s="29" t="n">
        <f aca="false">CHOOSE(假设!$B$7,假设!J38,假设!J39,假设!J40)</f>
        <v>0.155</v>
      </c>
      <c r="L7" s="29" t="n">
        <f aca="false">CHOOSE(假设!$B$7,假设!K38,假设!K39,假设!K40)</f>
        <v>0.16</v>
      </c>
      <c r="M7" s="29" t="n">
        <f aca="false">CHOOSE(假设!$B$7,假设!L38,假设!L39,假设!L40)</f>
        <v>0.16</v>
      </c>
    </row>
    <row r="8" customFormat="false" ht="15" hidden="false" customHeight="false" outlineLevel="0" collapsed="false">
      <c r="A8" s="13" t="s">
        <v>52</v>
      </c>
      <c r="B8" s="33" t="n">
        <v>7.08</v>
      </c>
      <c r="C8" s="33" t="n">
        <v>4.36</v>
      </c>
      <c r="D8" s="34" t="n">
        <f aca="false">D6*D7</f>
        <v>3.7438884</v>
      </c>
      <c r="E8" s="34" t="n">
        <f aca="false">E6*E7</f>
        <v>6.942238776</v>
      </c>
      <c r="F8" s="34" t="n">
        <f aca="false">F6*F7</f>
        <v>11.360027088</v>
      </c>
      <c r="G8" s="34" t="n">
        <f aca="false">G6*G7</f>
        <v>16.979453820864</v>
      </c>
      <c r="H8" s="34" t="n">
        <f aca="false">H6*H7</f>
        <v>23.8427277863501</v>
      </c>
      <c r="I8" s="34" t="n">
        <f aca="false">I6*I7</f>
        <v>30.7260196342355</v>
      </c>
      <c r="J8" s="34" t="n">
        <f aca="false">J6*J7</f>
        <v>38.3838891430757</v>
      </c>
      <c r="K8" s="34" t="n">
        <f aca="false">K6*K7</f>
        <v>45.1341593027201</v>
      </c>
      <c r="L8" s="34" t="n">
        <f aca="false">L6*L7</f>
        <v>50.3173079194196</v>
      </c>
      <c r="M8" s="34" t="n">
        <f aca="false">M6*M7</f>
        <v>53.3363463945847</v>
      </c>
    </row>
    <row r="9" customFormat="false" ht="15" hidden="false" customHeight="false" outlineLevel="0" collapsed="false">
      <c r="A9" s="5" t="s">
        <v>53</v>
      </c>
      <c r="D9" s="34" t="n">
        <f aca="false">-MAX(D8,0)*假设!$B$15</f>
        <v>-0.673899912</v>
      </c>
      <c r="E9" s="34" t="n">
        <f aca="false">-MAX(E8,0)*假设!$B$15</f>
        <v>-1.24960297968</v>
      </c>
      <c r="F9" s="34" t="n">
        <f aca="false">-MAX(F8,0)*假设!$B$15</f>
        <v>-2.04480487584</v>
      </c>
      <c r="G9" s="34" t="n">
        <f aca="false">-MAX(G8,0)*假设!$B$15</f>
        <v>-3.05630168775552</v>
      </c>
      <c r="H9" s="34" t="n">
        <f aca="false">-MAX(H8,0)*假设!$B$15</f>
        <v>-4.29169100154301</v>
      </c>
      <c r="I9" s="34" t="n">
        <f aca="false">-MAX(I8,0)*假设!$B$15</f>
        <v>-5.53068353416239</v>
      </c>
      <c r="J9" s="34" t="n">
        <f aca="false">-MAX(J8,0)*假设!$B$15</f>
        <v>-6.90910004575363</v>
      </c>
      <c r="K9" s="34" t="n">
        <f aca="false">-MAX(K8,0)*假设!$B$15</f>
        <v>-8.12414867448961</v>
      </c>
      <c r="L9" s="34" t="n">
        <f aca="false">-MAX(L8,0)*假设!$B$15</f>
        <v>-9.05711542549552</v>
      </c>
      <c r="M9" s="34" t="n">
        <f aca="false">-MAX(M8,0)*假设!$B$15</f>
        <v>-9.60054235102525</v>
      </c>
    </row>
    <row r="10" customFormat="false" ht="15" hidden="false" customHeight="false" outlineLevel="0" collapsed="false">
      <c r="A10" s="13" t="s">
        <v>54</v>
      </c>
      <c r="D10" s="34" t="n">
        <f aca="false">D8+D9</f>
        <v>3.069988488</v>
      </c>
      <c r="E10" s="34" t="n">
        <f aca="false">E8+E9</f>
        <v>5.69263579632</v>
      </c>
      <c r="F10" s="34" t="n">
        <f aca="false">F8+F9</f>
        <v>9.31522221216</v>
      </c>
      <c r="G10" s="34" t="n">
        <f aca="false">G8+G9</f>
        <v>13.9231521331085</v>
      </c>
      <c r="H10" s="34" t="n">
        <f aca="false">H8+H9</f>
        <v>19.5510367848071</v>
      </c>
      <c r="I10" s="34" t="n">
        <f aca="false">I8+I9</f>
        <v>25.1953361000731</v>
      </c>
      <c r="J10" s="34" t="n">
        <f aca="false">J8+J9</f>
        <v>31.4747890973221</v>
      </c>
      <c r="K10" s="34" t="n">
        <f aca="false">K8+K9</f>
        <v>37.0100106282305</v>
      </c>
      <c r="L10" s="34" t="n">
        <f aca="false">L8+L9</f>
        <v>41.260192493924</v>
      </c>
      <c r="M10" s="34" t="n">
        <f aca="false">M8+M9</f>
        <v>43.7358040435595</v>
      </c>
    </row>
    <row r="11" customFormat="false" ht="15" hidden="false" customHeight="false" outlineLevel="0" collapsed="false">
      <c r="A11" s="5" t="s">
        <v>55</v>
      </c>
      <c r="B11" s="33" t="n">
        <v>5.37</v>
      </c>
      <c r="C11" s="33" t="n">
        <v>5</v>
      </c>
      <c r="D11" s="34" t="n">
        <f aca="false">D6*假设!$B$17</f>
        <v>5.8832532</v>
      </c>
      <c r="E11" s="34" t="n">
        <f aca="false">E6*假设!$B$17</f>
        <v>6.942238776</v>
      </c>
      <c r="F11" s="34" t="n">
        <f aca="false">F6*假设!$B$17</f>
        <v>8.3306865312</v>
      </c>
      <c r="G11" s="34" t="n">
        <f aca="false">G6*假设!$B$17</f>
        <v>9.830210106816</v>
      </c>
      <c r="H11" s="34" t="n">
        <f aca="false">H6*假设!$B$17</f>
        <v>11.4030437239066</v>
      </c>
      <c r="I11" s="34" t="n">
        <f aca="false">I6*假设!$B$17</f>
        <v>12.9994698452535</v>
      </c>
      <c r="J11" s="34" t="n">
        <f aca="false">J6*假设!$B$17</f>
        <v>14.5594062266839</v>
      </c>
      <c r="K11" s="34" t="n">
        <f aca="false">K6*假设!$B$17</f>
        <v>16.0153468493523</v>
      </c>
      <c r="L11" s="34" t="n">
        <f aca="false">L6*假设!$B$17</f>
        <v>17.2965745973005</v>
      </c>
      <c r="M11" s="34" t="n">
        <f aca="false">M6*假设!$B$17</f>
        <v>18.3343690731385</v>
      </c>
    </row>
    <row r="12" customFormat="false" ht="15" hidden="false" customHeight="false" outlineLevel="0" collapsed="false">
      <c r="A12" s="5" t="s">
        <v>56</v>
      </c>
      <c r="B12" s="16" t="n">
        <f aca="false">-B13/B6</f>
        <v>0.116081482239738</v>
      </c>
      <c r="C12" s="16" t="n">
        <f aca="false">-C13/C6</f>
        <v>0.0899504376252241</v>
      </c>
      <c r="D12" s="29" t="n">
        <f aca="false">CHOOSE(假设!$B$7,假设!C42,假设!C43,假设!C44)</f>
        <v>0.233</v>
      </c>
      <c r="E12" s="29" t="n">
        <f aca="false">CHOOSE(假设!$B$7,假设!D42,假设!D43,假设!D44)</f>
        <v>0.17</v>
      </c>
      <c r="F12" s="29" t="n">
        <f aca="false">CHOOSE(假设!$B$7,假设!E42,假设!E43,假设!E44)</f>
        <v>0.13</v>
      </c>
      <c r="G12" s="29" t="n">
        <f aca="false">CHOOSE(假设!$B$7,假设!F42,假设!F43,假设!F44)</f>
        <v>0.1</v>
      </c>
      <c r="H12" s="29" t="n">
        <f aca="false">CHOOSE(假设!$B$7,假设!G42,假设!G43,假设!G44)</f>
        <v>0.085</v>
      </c>
      <c r="I12" s="29" t="n">
        <f aca="false">CHOOSE(假设!$B$7,假设!H42,假设!H43,假设!H44)</f>
        <v>0.075</v>
      </c>
      <c r="J12" s="29" t="n">
        <f aca="false">CHOOSE(假设!$B$7,假设!I42,假设!I43,假设!I44)</f>
        <v>0.07</v>
      </c>
      <c r="K12" s="29" t="n">
        <f aca="false">CHOOSE(假设!$B$7,假设!J42,假设!J43,假设!J44)</f>
        <v>0.065</v>
      </c>
      <c r="L12" s="29" t="n">
        <f aca="false">CHOOSE(假设!$B$7,假设!K42,假设!K43,假设!K44)</f>
        <v>0.065</v>
      </c>
      <c r="M12" s="29" t="n">
        <f aca="false">CHOOSE(假设!$B$7,假设!L42,假设!L43,假设!L44)</f>
        <v>0.06325</v>
      </c>
    </row>
    <row r="13" customFormat="false" ht="15" hidden="false" customHeight="false" outlineLevel="0" collapsed="false">
      <c r="A13" s="5" t="s">
        <v>57</v>
      </c>
      <c r="B13" s="33" t="n">
        <v>-11.34</v>
      </c>
      <c r="C13" s="33" t="n">
        <v>-8.53</v>
      </c>
      <c r="D13" s="34" t="n">
        <f aca="false">-D6*D12</f>
        <v>-24.92359992</v>
      </c>
      <c r="E13" s="34" t="n">
        <f aca="false">-E6*E12</f>
        <v>-21.457828944</v>
      </c>
      <c r="F13" s="34" t="n">
        <f aca="false">-F6*F12</f>
        <v>-19.6907136192</v>
      </c>
      <c r="G13" s="34" t="n">
        <f aca="false">-G6*G12</f>
        <v>-17.87310928512</v>
      </c>
      <c r="H13" s="34" t="n">
        <f aca="false">-H6*H12</f>
        <v>-17.6228857551283</v>
      </c>
      <c r="I13" s="34" t="n">
        <f aca="false">-I6*I12</f>
        <v>-17.726549788982</v>
      </c>
      <c r="J13" s="34" t="n">
        <f aca="false">-J6*J12</f>
        <v>-18.5301533794159</v>
      </c>
      <c r="K13" s="34" t="n">
        <f aca="false">-K6*K12</f>
        <v>-18.9272280946891</v>
      </c>
      <c r="L13" s="34" t="n">
        <f aca="false">-L6*L12</f>
        <v>-20.4414063422642</v>
      </c>
      <c r="M13" s="34" t="n">
        <f aca="false">-M6*M12</f>
        <v>-21.0845244341093</v>
      </c>
    </row>
    <row r="14" customFormat="false" ht="15" hidden="false" customHeight="false" outlineLevel="0" collapsed="false">
      <c r="A14" s="5" t="s">
        <v>58</v>
      </c>
      <c r="D14" s="34" t="n">
        <f aca="false">-(D6-C6)*假设!$B$19</f>
        <v>-0</v>
      </c>
      <c r="E14" s="34" t="n">
        <f aca="false">-(E6-D6)*假设!$B$19</f>
        <v>-0</v>
      </c>
      <c r="F14" s="34" t="n">
        <f aca="false">-(F6-E6)*假设!$B$19</f>
        <v>-0</v>
      </c>
      <c r="G14" s="34" t="n">
        <f aca="false">-(G6-F6)*假设!$B$19</f>
        <v>-0</v>
      </c>
      <c r="H14" s="34" t="n">
        <f aca="false">-(H6-G6)*假设!$B$19</f>
        <v>-0</v>
      </c>
      <c r="I14" s="34" t="n">
        <f aca="false">-(I6-H6)*假设!$B$19</f>
        <v>-0</v>
      </c>
      <c r="J14" s="34" t="n">
        <f aca="false">-(J6-I6)*假设!$B$19</f>
        <v>-0</v>
      </c>
      <c r="K14" s="34" t="n">
        <f aca="false">-(K6-J6)*假设!$B$19</f>
        <v>-0</v>
      </c>
      <c r="L14" s="34" t="n">
        <f aca="false">-(L6-K6)*假设!$B$19</f>
        <v>-0</v>
      </c>
      <c r="M14" s="34" t="n">
        <f aca="false">-(M6-L6)*假设!$B$19</f>
        <v>-0</v>
      </c>
    </row>
    <row r="15" customFormat="false" ht="15" hidden="false" customHeight="false" outlineLevel="0" collapsed="false">
      <c r="A15" s="30" t="s">
        <v>59</v>
      </c>
      <c r="B15" s="35"/>
      <c r="C15" s="35"/>
      <c r="D15" s="32" t="n">
        <f aca="false">D10+D11+D13+D14</f>
        <v>-15.970358232</v>
      </c>
      <c r="E15" s="32" t="n">
        <f aca="false">E10+E11+E13+E14</f>
        <v>-8.82295437168</v>
      </c>
      <c r="F15" s="32" t="n">
        <f aca="false">F10+F11+F13+F14</f>
        <v>-2.04480487584</v>
      </c>
      <c r="G15" s="32" t="n">
        <f aca="false">G10+G11+G13+G14</f>
        <v>5.88025295480448</v>
      </c>
      <c r="H15" s="32" t="n">
        <f aca="false">H10+H11+H13+H14</f>
        <v>13.3311947535853</v>
      </c>
      <c r="I15" s="32" t="n">
        <f aca="false">I10+I11+I13+I14</f>
        <v>20.4682561563446</v>
      </c>
      <c r="J15" s="32" t="n">
        <f aca="false">J10+J11+J13+J14</f>
        <v>27.5040419445901</v>
      </c>
      <c r="K15" s="32" t="n">
        <f aca="false">K10+K11+K13+K14</f>
        <v>34.0981293828937</v>
      </c>
      <c r="L15" s="32" t="n">
        <f aca="false">L10+L11+L13+L14</f>
        <v>38.1153607489603</v>
      </c>
      <c r="M15" s="32" t="n">
        <f aca="false">M10+M11+M13+M14</f>
        <v>40.9856486825887</v>
      </c>
    </row>
    <row r="17" customFormat="false" ht="15" hidden="false" customHeight="false" outlineLevel="0" collapsed="false">
      <c r="A17" s="5" t="s">
        <v>60</v>
      </c>
      <c r="D17" s="36" t="n">
        <f aca="false">假设!$B$28</f>
        <v>0.224657534246575</v>
      </c>
      <c r="E17" s="36" t="n">
        <f aca="false">D17+1</f>
        <v>1.22465753424658</v>
      </c>
      <c r="F17" s="36" t="n">
        <f aca="false">E17+1</f>
        <v>2.22465753424658</v>
      </c>
      <c r="G17" s="36" t="n">
        <f aca="false">F17+1</f>
        <v>3.22465753424658</v>
      </c>
      <c r="H17" s="36" t="n">
        <f aca="false">G17+1</f>
        <v>4.22465753424658</v>
      </c>
      <c r="I17" s="36" t="n">
        <f aca="false">H17+1</f>
        <v>5.22465753424658</v>
      </c>
      <c r="J17" s="36" t="n">
        <f aca="false">I17+1</f>
        <v>6.22465753424658</v>
      </c>
      <c r="K17" s="36" t="n">
        <f aca="false">J17+1</f>
        <v>7.22465753424658</v>
      </c>
      <c r="L17" s="36" t="n">
        <f aca="false">K17+1</f>
        <v>8.22465753424658</v>
      </c>
      <c r="M17" s="36" t="n">
        <f aca="false">L17+1</f>
        <v>9.22465753424658</v>
      </c>
    </row>
    <row r="18" customFormat="false" ht="15" hidden="false" customHeight="false" outlineLevel="0" collapsed="false">
      <c r="A18" s="5" t="s">
        <v>61</v>
      </c>
      <c r="D18" s="37" t="n">
        <f aca="false">1/(1+假设!$B$27)^D17</f>
        <v>0.975589945797835</v>
      </c>
      <c r="E18" s="37" t="n">
        <f aca="false">1/(1+假设!$B$27)^E17</f>
        <v>0.873964481880311</v>
      </c>
      <c r="F18" s="37" t="n">
        <f aca="false">1/(1+假设!$B$27)^F17</f>
        <v>0.782925161209687</v>
      </c>
      <c r="G18" s="37" t="n">
        <f aca="false">1/(1+假设!$B$27)^G17</f>
        <v>0.701369244132694</v>
      </c>
      <c r="H18" s="37" t="n">
        <f aca="false">1/(1+假设!$B$27)^H17</f>
        <v>0.628308861418132</v>
      </c>
      <c r="I18" s="37" t="n">
        <f aca="false">1/(1+假设!$B$27)^I17</f>
        <v>0.562859048409972</v>
      </c>
      <c r="J18" s="37" t="n">
        <f aca="false">1/(1+假设!$B$27)^J17</f>
        <v>0.504227025641368</v>
      </c>
      <c r="K18" s="37" t="n">
        <f aca="false">1/(1+假设!$B$27)^K17</f>
        <v>0.451702596067986</v>
      </c>
      <c r="L18" s="37" t="n">
        <f aca="false">1/(1+假设!$B$27)^L17</f>
        <v>0.404649542604404</v>
      </c>
      <c r="M18" s="37" t="n">
        <f aca="false">1/(1+假设!$B$27)^M17</f>
        <v>0.362497921763789</v>
      </c>
    </row>
    <row r="19" customFormat="false" ht="15" hidden="false" customHeight="false" outlineLevel="0" collapsed="false">
      <c r="A19" s="38" t="s">
        <v>62</v>
      </c>
      <c r="B19" s="35"/>
      <c r="C19" s="35"/>
      <c r="D19" s="32" t="n">
        <f aca="false">D15*D18*假设!$B$28</f>
        <v>-3.50028141259772</v>
      </c>
      <c r="E19" s="32" t="n">
        <f aca="false">E15*E18</f>
        <v>-7.71094874609894</v>
      </c>
      <c r="F19" s="32" t="n">
        <f aca="false">F15*F18</f>
        <v>-1.60092918705939</v>
      </c>
      <c r="G19" s="32" t="n">
        <f aca="false">G15*G18</f>
        <v>4.12422857022026</v>
      </c>
      <c r="H19" s="32" t="n">
        <f aca="false">H15*H18</f>
        <v>8.37610779696855</v>
      </c>
      <c r="I19" s="32" t="n">
        <f aca="false">I15*I18</f>
        <v>11.5207431827717</v>
      </c>
      <c r="J19" s="32" t="n">
        <f aca="false">J15*J18</f>
        <v>13.8682812628361</v>
      </c>
      <c r="K19" s="32" t="n">
        <f aca="false">K15*K18</f>
        <v>15.4022135633152</v>
      </c>
      <c r="L19" s="32" t="n">
        <f aca="false">L15*L18</f>
        <v>15.4233632932686</v>
      </c>
      <c r="M19" s="32" t="n">
        <f aca="false">M15*M18</f>
        <v>14.8572124695792</v>
      </c>
    </row>
    <row r="20" customFormat="false" ht="15" hidden="false" customHeight="false" outlineLevel="0" collapsed="false">
      <c r="A20" s="26" t="s">
        <v>63</v>
      </c>
    </row>
    <row r="21" customFormat="false" ht="15" hidden="false" customHeight="false" outlineLevel="0" collapsed="false">
      <c r="A21" s="5" t="s">
        <v>64</v>
      </c>
      <c r="B21" s="33" t="n">
        <v>14.92</v>
      </c>
      <c r="C21" s="33" t="n">
        <v>14.75</v>
      </c>
    </row>
    <row r="22" customFormat="false" ht="15" hidden="false" customHeight="false" outlineLevel="0" collapsed="false">
      <c r="A22" s="5" t="s">
        <v>65</v>
      </c>
      <c r="B22" s="33" t="n">
        <v>3.58</v>
      </c>
      <c r="C22" s="33" t="n">
        <v>6.22</v>
      </c>
    </row>
    <row r="25" customFormat="false" ht="15" hidden="false" customHeight="false" outlineLevel="0" collapsed="false">
      <c r="A25" s="3" t="s">
        <v>66</v>
      </c>
      <c r="B25" s="4"/>
      <c r="C25" s="4"/>
    </row>
    <row r="26" customFormat="false" ht="15" hidden="false" customHeight="false" outlineLevel="0" collapsed="false">
      <c r="A26" s="5" t="s">
        <v>67</v>
      </c>
      <c r="B26" s="34" t="n">
        <f aca="false">SUM(D19:M19)</f>
        <v>70.7599907932035</v>
      </c>
    </row>
    <row r="27" customFormat="false" ht="15" hidden="false" customHeight="false" outlineLevel="0" collapsed="false">
      <c r="A27" s="5" t="s">
        <v>68</v>
      </c>
      <c r="B27" s="34" t="n">
        <f aca="false">M15*(1+假设!$B$16)/(假设!$B$27-假设!$B$16)</f>
        <v>489.275948853935</v>
      </c>
    </row>
    <row r="28" customFormat="false" ht="15" hidden="false" customHeight="false" outlineLevel="0" collapsed="false">
      <c r="A28" s="5" t="s">
        <v>69</v>
      </c>
      <c r="B28" s="34" t="n">
        <f aca="false">B27*M18</f>
        <v>177.361514628557</v>
      </c>
    </row>
    <row r="29" customFormat="false" ht="15" hidden="false" customHeight="false" outlineLevel="0" collapsed="false">
      <c r="A29" s="22" t="s">
        <v>70</v>
      </c>
      <c r="B29" s="39" t="n">
        <f aca="false">B26+B28</f>
        <v>248.121505421761</v>
      </c>
    </row>
    <row r="30" customFormat="false" ht="15" hidden="false" customHeight="false" outlineLevel="0" collapsed="false">
      <c r="A30" s="5" t="s">
        <v>71</v>
      </c>
      <c r="B30" s="40" t="n">
        <f aca="false">假设!$B$29</f>
        <v>34.18</v>
      </c>
    </row>
    <row r="31" customFormat="false" ht="15" hidden="false" customHeight="false" outlineLevel="0" collapsed="false">
      <c r="A31" s="5" t="s">
        <v>72</v>
      </c>
      <c r="B31" s="34" t="n">
        <f aca="false">B29+B30</f>
        <v>282.301505421761</v>
      </c>
    </row>
    <row r="32" customFormat="false" ht="15" hidden="false" customHeight="false" outlineLevel="0" collapsed="false">
      <c r="A32" s="22" t="s">
        <v>73</v>
      </c>
      <c r="B32" s="41" t="n">
        <f aca="false">B31/假设!$B$6</f>
        <v>71.4687355498128</v>
      </c>
    </row>
    <row r="33" customFormat="false" ht="15" hidden="false" customHeight="false" outlineLevel="0" collapsed="false">
      <c r="A33" s="5" t="s">
        <v>74</v>
      </c>
      <c r="B33" s="42" t="n">
        <f aca="false">假设!$B$5</f>
        <v>382.7</v>
      </c>
    </row>
    <row r="34" customFormat="false" ht="15" hidden="false" customHeight="false" outlineLevel="0" collapsed="false">
      <c r="A34" s="22" t="s">
        <v>75</v>
      </c>
      <c r="B34" s="18" t="n">
        <f aca="false">B32/B33-1</f>
        <v>-0.813251278939606</v>
      </c>
    </row>
    <row r="35" customFormat="false" ht="15" hidden="false" customHeight="false" outlineLevel="0" collapsed="false">
      <c r="A35" s="5" t="s">
        <v>76</v>
      </c>
      <c r="B35" s="25" t="n">
        <f aca="false">B28/B29</f>
        <v>0.714817179297197</v>
      </c>
    </row>
    <row r="36" customFormat="false" ht="15" hidden="false" customHeight="false" outlineLevel="0" collapsed="false">
      <c r="A36" s="5" t="s">
        <v>77</v>
      </c>
      <c r="B36" s="34" t="n">
        <f aca="false">(假设!$B$30-假设!$B$29-B26)/M18*(假设!$B$27-假设!$B$16)/(1+假设!$B$16)</f>
        <v>325.073549022782</v>
      </c>
    </row>
    <row r="37" customFormat="false" ht="15" hidden="false" customHeight="false" outlineLevel="0" collapsed="false">
      <c r="A37" s="5" t="s">
        <v>78</v>
      </c>
      <c r="B37" s="43" t="n">
        <f aca="false">B36/M15</f>
        <v>7.93139939153575</v>
      </c>
    </row>
    <row r="38" customFormat="false" ht="15" hidden="false" customHeight="false" outlineLevel="0" collapsed="false">
      <c r="A38" s="2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</cols>
  <sheetData>
    <row r="1" customFormat="false" ht="19.4" hidden="false" customHeight="false" outlineLevel="0" collapsed="false">
      <c r="A1" s="44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17" t="s">
        <v>82</v>
      </c>
      <c r="B4" s="45" t="n">
        <v>0.02</v>
      </c>
      <c r="C4" s="45" t="n">
        <v>0.025</v>
      </c>
      <c r="D4" s="45" t="n">
        <v>0.03</v>
      </c>
      <c r="E4" s="45" t="n">
        <v>0.035</v>
      </c>
      <c r="F4" s="45" t="n">
        <v>0.04</v>
      </c>
    </row>
    <row r="5" customFormat="false" ht="15" hidden="false" customHeight="false" outlineLevel="0" collapsed="false">
      <c r="A5" s="45" t="n">
        <v>0.08</v>
      </c>
      <c r="B5" s="46" t="n">
        <f aca="false">(SUMPRODUCT(DCF!$D$15:$M$15,1/(1+$A5)^DCF!$D$17:$M$17)-DCF!$D$15*(1-假设!$B$28)/(1+$A5)^DCF!$D$17+DCF!$M$15*(1+B$4)/($A5-B$4)/(1+$A5)^DCF!$M$17+假设!$B$29)/假设!$B$6</f>
        <v>118.574581388068</v>
      </c>
      <c r="C5" s="46" t="n">
        <f aca="false">(SUMPRODUCT(DCF!$D$15:$M$15,1/(1+$A5)^DCF!$D$17:$M$17)-DCF!$D$15*(1-假设!$B$28)/(1+$A5)^DCF!$D$17+DCF!$M$15*(1+C$4)/($A5-C$4)/(1+$A5)^DCF!$M$17+假设!$B$29)/假设!$B$6</f>
        <v>126.922762059999</v>
      </c>
      <c r="D5" s="46" t="n">
        <f aca="false">(SUMPRODUCT(DCF!$D$15:$M$15,1/(1+$A5)^DCF!$D$17:$M$17)-DCF!$D$15*(1-假设!$B$28)/(1+$A5)^DCF!$D$17+DCF!$M$15*(1+D$4)/($A5-D$4)/(1+$A5)^DCF!$M$17+假设!$B$29)/假设!$B$6</f>
        <v>136.940578866318</v>
      </c>
      <c r="E5" s="46" t="n">
        <f aca="false">(SUMPRODUCT(DCF!$D$15:$M$15,1/(1+$A5)^DCF!$D$17:$M$17)-DCF!$D$15*(1-假设!$B$28)/(1+$A5)^DCF!$D$17+DCF!$M$15*(1+E$4)/($A5-E$4)/(1+$A5)^DCF!$M$17+假设!$B$29)/假设!$B$6</f>
        <v>149.184577185151</v>
      </c>
      <c r="F5" s="46" t="n">
        <f aca="false">(SUMPRODUCT(DCF!$D$15:$M$15,1/(1+$A5)^DCF!$D$17:$M$17)-DCF!$D$15*(1-假设!$B$28)/(1+$A5)^DCF!$D$17+DCF!$M$15*(1+F$4)/($A5-F$4)/(1+$A5)^DCF!$M$17+假设!$B$29)/假设!$B$6</f>
        <v>164.489575083692</v>
      </c>
    </row>
    <row r="6" customFormat="false" ht="15" hidden="false" customHeight="false" outlineLevel="0" collapsed="false">
      <c r="A6" s="45" t="n">
        <v>0.09</v>
      </c>
      <c r="B6" s="46" t="n">
        <f aca="false">(SUMPRODUCT(DCF!$D$15:$M$15,1/(1+$A6)^DCF!$D$17:$M$17)-DCF!$D$15*(1-假设!$B$28)/(1+$A6)^DCF!$D$17+DCF!$M$15*(1+B$4)/($A6-B$4)/(1+$A6)^DCF!$M$17+假设!$B$29)/假设!$B$6</f>
        <v>98.5199306840802</v>
      </c>
      <c r="C6" s="46" t="n">
        <f aca="false">(SUMPRODUCT(DCF!$D$15:$M$15,1/(1+$A6)^DCF!$D$17:$M$17)-DCF!$D$15*(1-假设!$B$28)/(1+$A6)^DCF!$D$17+DCF!$M$15*(1+C$4)/($A6-C$4)/(1+$A6)^DCF!$M$17+假设!$B$29)/假设!$B$6</f>
        <v>104.132648352914</v>
      </c>
      <c r="D6" s="46" t="n">
        <f aca="false">(SUMPRODUCT(DCF!$D$15:$M$15,1/(1+$A6)^DCF!$D$17:$M$17)-DCF!$D$15*(1-假设!$B$28)/(1+$A6)^DCF!$D$17+DCF!$M$15*(1+D$4)/($A6-D$4)/(1+$A6)^DCF!$M$17+假设!$B$29)/假设!$B$6</f>
        <v>110.680818966553</v>
      </c>
      <c r="E6" s="46" t="n">
        <f aca="false">(SUMPRODUCT(DCF!$D$15:$M$15,1/(1+$A6)^DCF!$D$17:$M$17)-DCF!$D$15*(1-假设!$B$28)/(1+$A6)^DCF!$D$17+DCF!$M$15*(1+E$4)/($A6-E$4)/(1+$A6)^DCF!$M$17+假设!$B$29)/假设!$B$6</f>
        <v>118.419566055399</v>
      </c>
      <c r="F6" s="46" t="n">
        <f aca="false">(SUMPRODUCT(DCF!$D$15:$M$15,1/(1+$A6)^DCF!$D$17:$M$17)-DCF!$D$15*(1-假设!$B$28)/(1+$A6)^DCF!$D$17+DCF!$M$15*(1+F$4)/($A6-F$4)/(1+$A6)^DCF!$M$17+假设!$B$29)/假设!$B$6</f>
        <v>127.706062562015</v>
      </c>
    </row>
    <row r="7" customFormat="false" ht="15" hidden="false" customHeight="false" outlineLevel="0" collapsed="false">
      <c r="A7" s="45" t="n">
        <v>0.1</v>
      </c>
      <c r="B7" s="46" t="n">
        <f aca="false">(SUMPRODUCT(DCF!$D$15:$M$15,1/(1+$A7)^DCF!$D$17:$M$17)-DCF!$D$15*(1-假设!$B$28)/(1+$A7)^DCF!$D$17+DCF!$M$15*(1+B$4)/($A7-B$4)/(1+$A7)^DCF!$M$17+假设!$B$29)/假设!$B$6</f>
        <v>83.6723870796832</v>
      </c>
      <c r="C7" s="46" t="n">
        <f aca="false">(SUMPRODUCT(DCF!$D$15:$M$15,1/(1+$A7)^DCF!$D$17:$M$17)-DCF!$D$15*(1-假设!$B$28)/(1+$A7)^DCF!$D$17+DCF!$M$15*(1+C$4)/($A7-C$4)/(1+$A7)^DCF!$M$17+假设!$B$29)/假设!$B$6</f>
        <v>87.6207113327649</v>
      </c>
      <c r="D7" s="46" t="n">
        <f aca="false">(SUMPRODUCT(DCF!$D$15:$M$15,1/(1+$A7)^DCF!$D$17:$M$17)-DCF!$D$15*(1-假设!$B$28)/(1+$A7)^DCF!$D$17+DCF!$M$15*(1+D$4)/($A7-D$4)/(1+$A7)^DCF!$M$17+假设!$B$29)/假设!$B$6</f>
        <v>92.1330819077155</v>
      </c>
      <c r="E7" s="46" t="n">
        <f aca="false">(SUMPRODUCT(DCF!$D$15:$M$15,1/(1+$A7)^DCF!$D$17:$M$17)-DCF!$D$15*(1-假设!$B$28)/(1+$A7)^DCF!$D$17+DCF!$M$15*(1+E$4)/($A7-E$4)/(1+$A7)^DCF!$M$17+假设!$B$29)/假设!$B$6</f>
        <v>97.3396633403508</v>
      </c>
      <c r="F7" s="46" t="n">
        <f aca="false">(SUMPRODUCT(DCF!$D$15:$M$15,1/(1+$A7)^DCF!$D$17:$M$17)-DCF!$D$15*(1-假设!$B$28)/(1+$A7)^DCF!$D$17+DCF!$M$15*(1+F$4)/($A7-F$4)/(1+$A7)^DCF!$M$17+假设!$B$29)/假设!$B$6</f>
        <v>103.414008345092</v>
      </c>
    </row>
    <row r="8" customFormat="false" ht="15" hidden="false" customHeight="false" outlineLevel="0" collapsed="false">
      <c r="A8" s="45" t="n">
        <v>0.11</v>
      </c>
      <c r="B8" s="46" t="n">
        <f aca="false">(SUMPRODUCT(DCF!$D$15:$M$15,1/(1+$A8)^DCF!$D$17:$M$17)-DCF!$D$15*(1-假设!$B$28)/(1+$A8)^DCF!$D$17+DCF!$M$15*(1+B$4)/($A8-B$4)/(1+$A8)^DCF!$M$17+假设!$B$29)/假设!$B$6</f>
        <v>72.2849971784085</v>
      </c>
      <c r="C8" s="46" t="n">
        <f aca="false">(SUMPRODUCT(DCF!$D$15:$M$15,1/(1+$A8)^DCF!$D$17:$M$17)-DCF!$D$15*(1-假设!$B$28)/(1+$A8)^DCF!$D$17+DCF!$M$15*(1+C$4)/($A8-C$4)/(1+$A8)^DCF!$M$17+假设!$B$29)/假设!$B$6</f>
        <v>75.1595964267979</v>
      </c>
      <c r="D8" s="46" t="n">
        <f aca="false">(SUMPRODUCT(DCF!$D$15:$M$15,1/(1+$A8)^DCF!$D$17:$M$17)-DCF!$D$15*(1-假设!$B$28)/(1+$A8)^DCF!$D$17+DCF!$M$15*(1+D$4)/($A8-D$4)/(1+$A8)^DCF!$M$17+假设!$B$29)/假设!$B$6</f>
        <v>78.3935205812359</v>
      </c>
      <c r="E8" s="46" t="n">
        <f aca="false">(SUMPRODUCT(DCF!$D$15:$M$15,1/(1+$A8)^DCF!$D$17:$M$17)-DCF!$D$15*(1-假设!$B$28)/(1+$A8)^DCF!$D$17+DCF!$M$15*(1+E$4)/($A8-E$4)/(1+$A8)^DCF!$M$17+假设!$B$29)/假设!$B$6</f>
        <v>82.0586346229323</v>
      </c>
      <c r="F8" s="46" t="n">
        <f aca="false">(SUMPRODUCT(DCF!$D$15:$M$15,1/(1+$A8)^DCF!$D$17:$M$17)-DCF!$D$15*(1-假设!$B$28)/(1+$A8)^DCF!$D$17+DCF!$M$15*(1+F$4)/($A8-F$4)/(1+$A8)^DCF!$M$17+假设!$B$29)/假设!$B$6</f>
        <v>86.247336384871</v>
      </c>
    </row>
    <row r="9" customFormat="false" ht="15" hidden="false" customHeight="false" outlineLevel="0" collapsed="false">
      <c r="A9" s="45" t="n">
        <v>0.12</v>
      </c>
      <c r="B9" s="46" t="n">
        <f aca="false">(SUMPRODUCT(DCF!$D$15:$M$15,1/(1+$A9)^DCF!$D$17:$M$17)-DCF!$D$15*(1-假设!$B$28)/(1+$A9)^DCF!$D$17+DCF!$M$15*(1+B$4)/($A9-B$4)/(1+$A9)^DCF!$M$17+假设!$B$29)/假设!$B$6</f>
        <v>63.3103706787104</v>
      </c>
      <c r="C9" s="46" t="n">
        <f aca="false">(SUMPRODUCT(DCF!$D$15:$M$15,1/(1+$A9)^DCF!$D$17:$M$17)-DCF!$D$15*(1-假设!$B$28)/(1+$A9)^DCF!$D$17+DCF!$M$15*(1+C$4)/($A9-C$4)/(1+$A9)^DCF!$M$17+假设!$B$29)/假设!$B$6</f>
        <v>65.4605750257437</v>
      </c>
      <c r="D9" s="46" t="n">
        <f aca="false">(SUMPRODUCT(DCF!$D$15:$M$15,1/(1+$A9)^DCF!$D$17:$M$17)-DCF!$D$15*(1-假设!$B$28)/(1+$A9)^DCF!$D$17+DCF!$M$15*(1+D$4)/($A9-D$4)/(1+$A9)^DCF!$M$17+假设!$B$29)/假设!$B$6</f>
        <v>67.8496909668918</v>
      </c>
      <c r="E9" s="46" t="n">
        <f aca="false">(SUMPRODUCT(DCF!$D$15:$M$15,1/(1+$A9)^DCF!$D$17:$M$17)-DCF!$D$15*(1-假设!$B$28)/(1+$A9)^DCF!$D$17+DCF!$M$15*(1+E$4)/($A9-E$4)/(1+$A9)^DCF!$M$17+假设!$B$29)/假设!$B$6</f>
        <v>70.5198793717045</v>
      </c>
      <c r="F9" s="46" t="n">
        <f aca="false">(SUMPRODUCT(DCF!$D$15:$M$15,1/(1+$A9)^DCF!$D$17:$M$17)-DCF!$D$15*(1-假设!$B$28)/(1+$A9)^DCF!$D$17+DCF!$M$15*(1+F$4)/($A9-F$4)/(1+$A9)^DCF!$M$17+假设!$B$29)/假设!$B$6</f>
        <v>73.5238413271187</v>
      </c>
    </row>
    <row r="10" customFormat="false" ht="15" hidden="false" customHeight="false" outlineLevel="0" collapsed="false">
      <c r="A10" s="45" t="n">
        <v>0.13</v>
      </c>
      <c r="B10" s="46" t="n">
        <f aca="false">(SUMPRODUCT(DCF!$D$15:$M$15,1/(1+$A10)^DCF!$D$17:$M$17)-DCF!$D$15*(1-假设!$B$28)/(1+$A10)^DCF!$D$17+DCF!$M$15*(1+B$4)/($A10-B$4)/(1+$A10)^DCF!$M$17+假设!$B$29)/假设!$B$6</f>
        <v>56.0826347867091</v>
      </c>
      <c r="C10" s="46" t="n">
        <f aca="false">(SUMPRODUCT(DCF!$D$15:$M$15,1/(1+$A10)^DCF!$D$17:$M$17)-DCF!$D$15*(1-假设!$B$28)/(1+$A10)^DCF!$D$17+DCF!$M$15*(1+C$4)/($A10-C$4)/(1+$A10)^DCF!$M$17+假设!$B$29)/假设!$B$6</f>
        <v>57.7265170795577</v>
      </c>
      <c r="D10" s="46" t="n">
        <f aca="false">(SUMPRODUCT(DCF!$D$15:$M$15,1/(1+$A10)^DCF!$D$17:$M$17)-DCF!$D$15*(1-假设!$B$28)/(1+$A10)^DCF!$D$17+DCF!$M$15*(1+D$4)/($A10-D$4)/(1+$A10)^DCF!$M$17+假设!$B$29)/假设!$B$6</f>
        <v>59.5347876016912</v>
      </c>
      <c r="E10" s="46" t="n">
        <f aca="false">(SUMPRODUCT(DCF!$D$15:$M$15,1/(1+$A10)^DCF!$D$17:$M$17)-DCF!$D$15*(1-假设!$B$28)/(1+$A10)^DCF!$D$17+DCF!$M$15*(1+E$4)/($A10-E$4)/(1+$A10)^DCF!$M$17+假设!$B$29)/假设!$B$6</f>
        <v>61.5334023893124</v>
      </c>
      <c r="F10" s="46" t="n">
        <f aca="false">(SUMPRODUCT(DCF!$D$15:$M$15,1/(1+$A10)^DCF!$D$17:$M$17)-DCF!$D$15*(1-假设!$B$28)/(1+$A10)^DCF!$D$17+DCF!$M$15*(1+F$4)/($A10-F$4)/(1+$A10)^DCF!$M$17+假设!$B$29)/假设!$B$6</f>
        <v>63.7540854866693</v>
      </c>
    </row>
    <row r="12" customFormat="false" ht="15" hidden="false" customHeight="false" outlineLevel="0" collapsed="false">
      <c r="A12" s="5" t="s">
        <v>83</v>
      </c>
      <c r="B12" s="42" t="n">
        <f aca="false">假设!$B$5</f>
        <v>382.7</v>
      </c>
    </row>
    <row r="13" customFormat="false" ht="15" hidden="false" customHeight="false" outlineLevel="0" collapsed="false">
      <c r="A13" s="5" t="s">
        <v>84</v>
      </c>
      <c r="B13" s="29" t="n">
        <f aca="false">假设!$B$27</f>
        <v>0.116281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47" t="s">
        <v>85</v>
      </c>
    </row>
    <row r="2" customFormat="false" ht="39.55" hidden="false" customHeight="false" outlineLevel="0" collapsed="false">
      <c r="A2" s="48" t="s">
        <v>86</v>
      </c>
    </row>
    <row r="3" customFormat="false" ht="25.35" hidden="false" customHeight="false" outlineLevel="0" collapsed="false">
      <c r="A3" s="48" t="s">
        <v>87</v>
      </c>
    </row>
    <row r="4" customFormat="false" ht="26.85" hidden="false" customHeight="false" outlineLevel="0" collapsed="false">
      <c r="A4" s="48" t="s">
        <v>88</v>
      </c>
    </row>
    <row r="5" customFormat="false" ht="15" hidden="false" customHeight="false" outlineLevel="0" collapsed="false">
      <c r="A5" s="49" t="s">
        <v>89</v>
      </c>
    </row>
    <row r="6" customFormat="false" ht="15" hidden="false" customHeight="false" outlineLevel="0" collapsed="false">
      <c r="A6" s="49" t="s">
        <v>90</v>
      </c>
    </row>
    <row r="7" customFormat="false" ht="25.35" hidden="false" customHeight="false" outlineLevel="0" collapsed="false">
      <c r="A7" s="48" t="s">
        <v>91</v>
      </c>
    </row>
    <row r="8" customFormat="false" ht="15" hidden="false" customHeight="false" outlineLevel="0" collapsed="false">
      <c r="A8" s="49" t="s">
        <v>92</v>
      </c>
    </row>
    <row r="9" customFormat="false" ht="15" hidden="false" customHeight="false" outlineLevel="0" collapsed="false">
      <c r="A9" s="49"/>
    </row>
    <row r="10" customFormat="false" ht="15" hidden="false" customHeight="false" outlineLevel="0" collapsed="false">
      <c r="A10" s="47" t="s">
        <v>93</v>
      </c>
    </row>
    <row r="11" customFormat="false" ht="15" hidden="false" customHeight="false" outlineLevel="0" collapsed="false">
      <c r="A11" s="48" t="s">
        <v>94</v>
      </c>
    </row>
    <row r="12" customFormat="false" ht="15" hidden="false" customHeight="false" outlineLevel="0" collapsed="false">
      <c r="A12" s="48" t="s">
        <v>95</v>
      </c>
    </row>
    <row r="13" customFormat="false" ht="15" hidden="false" customHeight="false" outlineLevel="0" collapsed="false">
      <c r="A13" s="48" t="s">
        <v>96</v>
      </c>
    </row>
    <row r="14" customFormat="false" ht="15" hidden="false" customHeight="false" outlineLevel="0" collapsed="false">
      <c r="A14" s="48" t="s">
        <v>97</v>
      </c>
    </row>
    <row r="15" customFormat="false" ht="15" hidden="false" customHeight="false" outlineLevel="0" collapsed="false">
      <c r="A15" s="48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2026-10-10T14:02:38Z</dcterms:created>
  <dc:creator>openpyxl</dc:creator>
  <dc:description/>
  <dc:language>en-US</dc:language>
  <cp:lastModifiedBy/>
  <dcterms:modified xsi:type="dcterms:W3CDTF">2026-10-10T14:02:38Z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